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dels\"/>
    </mc:Choice>
  </mc:AlternateContent>
  <xr:revisionPtr revIDLastSave="0" documentId="13_ncr:1_{075AAA06-5066-471D-883F-60AD0B91B224}" xr6:coauthVersionLast="47" xr6:coauthVersionMax="47" xr10:uidLastSave="{00000000-0000-0000-0000-000000000000}"/>
  <bookViews>
    <workbookView xWindow="-110" yWindow="-110" windowWidth="19420" windowHeight="12220" activeTab="1" xr2:uid="{1E05D0D9-39BF-42E2-8200-50F50238C3C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0" i="2" l="1"/>
  <c r="S20" i="2"/>
  <c r="N34" i="2"/>
  <c r="M34" i="2" s="1"/>
  <c r="M28" i="2"/>
  <c r="N28" i="2"/>
  <c r="M29" i="2"/>
  <c r="N29" i="2"/>
  <c r="M30" i="2"/>
  <c r="N30" i="2"/>
  <c r="G28" i="2"/>
  <c r="H28" i="2"/>
  <c r="I28" i="2"/>
  <c r="J28" i="2"/>
  <c r="K28" i="2"/>
  <c r="L28" i="2"/>
  <c r="F28" i="2"/>
  <c r="F30" i="2"/>
  <c r="G30" i="2"/>
  <c r="H30" i="2"/>
  <c r="I30" i="2"/>
  <c r="J30" i="2"/>
  <c r="K30" i="2"/>
  <c r="L30" i="2"/>
  <c r="E30" i="2"/>
  <c r="D30" i="2"/>
  <c r="F29" i="2"/>
  <c r="G29" i="2" s="1"/>
  <c r="H29" i="2" s="1"/>
  <c r="I29" i="2" s="1"/>
  <c r="J29" i="2" s="1"/>
  <c r="K29" i="2" s="1"/>
  <c r="L29" i="2" s="1"/>
  <c r="E29" i="2"/>
  <c r="J8" i="2"/>
  <c r="K8" i="2" s="1"/>
  <c r="J9" i="2"/>
  <c r="K9" i="2"/>
  <c r="L9" i="2"/>
  <c r="M9" i="2"/>
  <c r="N9" i="2"/>
  <c r="O9" i="2"/>
  <c r="P9" i="2"/>
  <c r="Q9" i="2" s="1"/>
  <c r="R9" i="2" s="1"/>
  <c r="J10" i="2"/>
  <c r="K10" i="2"/>
  <c r="L10" i="2"/>
  <c r="M10" i="2"/>
  <c r="N10" i="2"/>
  <c r="O10" i="2"/>
  <c r="P10" i="2"/>
  <c r="Q10" i="2"/>
  <c r="R10" i="2"/>
  <c r="I10" i="2"/>
  <c r="I9" i="2"/>
  <c r="I8" i="2"/>
  <c r="I11" i="2"/>
  <c r="H21" i="2"/>
  <c r="G21" i="2"/>
  <c r="F21" i="2"/>
  <c r="J6" i="2"/>
  <c r="K6" i="2"/>
  <c r="L6" i="2"/>
  <c r="M6" i="2"/>
  <c r="N6" i="2"/>
  <c r="O6" i="2"/>
  <c r="P6" i="2"/>
  <c r="Q6" i="2"/>
  <c r="R6" i="2"/>
  <c r="I6" i="2"/>
  <c r="J5" i="2"/>
  <c r="K5" i="2"/>
  <c r="L5" i="2"/>
  <c r="M5" i="2"/>
  <c r="N5" i="2"/>
  <c r="O5" i="2"/>
  <c r="P5" i="2"/>
  <c r="Q5" i="2"/>
  <c r="R5" i="2"/>
  <c r="I5" i="2"/>
  <c r="J4" i="2"/>
  <c r="K4" i="2"/>
  <c r="L4" i="2" s="1"/>
  <c r="M4" i="2" s="1"/>
  <c r="N4" i="2" s="1"/>
  <c r="O4" i="2" s="1"/>
  <c r="P4" i="2" s="1"/>
  <c r="Q4" i="2" s="1"/>
  <c r="R4" i="2" s="1"/>
  <c r="I4" i="2"/>
  <c r="G12" i="2"/>
  <c r="H12" i="2"/>
  <c r="F12" i="2"/>
  <c r="G11" i="2"/>
  <c r="H11" i="2"/>
  <c r="J11" i="2"/>
  <c r="F11" i="2"/>
  <c r="G7" i="2"/>
  <c r="H7" i="2"/>
  <c r="F7" i="2"/>
  <c r="M28" i="1"/>
  <c r="I28" i="1"/>
  <c r="G11" i="1"/>
  <c r="R5" i="1"/>
  <c r="K11" i="2" l="1"/>
  <c r="L8" i="2"/>
  <c r="I34" i="1"/>
  <c r="K31" i="1" s="1"/>
  <c r="G24" i="2"/>
  <c r="H24" i="2"/>
  <c r="F24" i="2"/>
  <c r="H23" i="2"/>
  <c r="G23" i="2"/>
  <c r="I31" i="1"/>
  <c r="I30" i="1"/>
  <c r="I29" i="1"/>
  <c r="H31" i="1"/>
  <c r="H30" i="1"/>
  <c r="H29" i="1"/>
  <c r="H28" i="1"/>
  <c r="G31" i="1"/>
  <c r="E31" i="1"/>
  <c r="E30" i="1"/>
  <c r="E29" i="1"/>
  <c r="E28" i="1"/>
  <c r="M8" i="2" l="1"/>
  <c r="L11" i="2"/>
  <c r="H25" i="2"/>
  <c r="F25" i="2"/>
  <c r="G25" i="2"/>
  <c r="M31" i="1"/>
  <c r="F18" i="1" s="1"/>
  <c r="L31" i="1"/>
  <c r="K30" i="1"/>
  <c r="K28" i="1"/>
  <c r="K29" i="1"/>
  <c r="D31" i="1"/>
  <c r="D30" i="1"/>
  <c r="D29" i="1"/>
  <c r="D28" i="1"/>
  <c r="C31" i="1"/>
  <c r="C30" i="1"/>
  <c r="C29" i="1"/>
  <c r="C28" i="1"/>
  <c r="E25" i="1"/>
  <c r="D25" i="1"/>
  <c r="E24" i="1"/>
  <c r="D24" i="1"/>
  <c r="D21" i="1"/>
  <c r="D22" i="1" s="1"/>
  <c r="C21" i="1"/>
  <c r="C22" i="1" s="1"/>
  <c r="E19" i="1"/>
  <c r="E21" i="1" s="1"/>
  <c r="E22" i="1" s="1"/>
  <c r="D19" i="1"/>
  <c r="C19" i="1"/>
  <c r="D14" i="1"/>
  <c r="E14" i="1" s="1"/>
  <c r="F11" i="1"/>
  <c r="E9" i="1"/>
  <c r="F9" i="1" s="1"/>
  <c r="D11" i="2"/>
  <c r="D12" i="2" s="1"/>
  <c r="D16" i="2" s="1"/>
  <c r="D18" i="2" s="1"/>
  <c r="D20" i="2" s="1"/>
  <c r="E11" i="2"/>
  <c r="E12" i="2"/>
  <c r="E16" i="2"/>
  <c r="E18" i="2" s="1"/>
  <c r="E20" i="2" s="1"/>
  <c r="C11" i="2"/>
  <c r="C12" i="2" s="1"/>
  <c r="C16" i="2" s="1"/>
  <c r="C18" i="2" s="1"/>
  <c r="C20" i="2" s="1"/>
  <c r="H16" i="2"/>
  <c r="H18" i="2" s="1"/>
  <c r="H20" i="2" s="1"/>
  <c r="G16" i="2"/>
  <c r="G18" i="2" s="1"/>
  <c r="G20" i="2" s="1"/>
  <c r="F16" i="2"/>
  <c r="F18" i="2" s="1"/>
  <c r="F20" i="2" s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O17" i="1"/>
  <c r="N17" i="1"/>
  <c r="N8" i="2" l="1"/>
  <c r="M11" i="2"/>
  <c r="M29" i="1"/>
  <c r="F16" i="1" s="1"/>
  <c r="L29" i="1"/>
  <c r="M30" i="1"/>
  <c r="F17" i="1" s="1"/>
  <c r="L30" i="1"/>
  <c r="F15" i="1"/>
  <c r="L28" i="1"/>
  <c r="O15" i="1"/>
  <c r="N15" i="1"/>
  <c r="O13" i="1"/>
  <c r="N13" i="1"/>
  <c r="M13" i="1"/>
  <c r="J6" i="1"/>
  <c r="J5" i="1"/>
  <c r="O4" i="1"/>
  <c r="O16" i="1" s="1"/>
  <c r="N4" i="1"/>
  <c r="N16" i="1" s="1"/>
  <c r="J3" i="1"/>
  <c r="J4" i="1"/>
  <c r="J7" i="1" s="1"/>
  <c r="N11" i="2" l="1"/>
  <c r="O8" i="2"/>
  <c r="J8" i="1"/>
  <c r="F19" i="1"/>
  <c r="F20" i="1" s="1"/>
  <c r="I3" i="2" s="1"/>
  <c r="O11" i="2" l="1"/>
  <c r="P8" i="2"/>
  <c r="J3" i="2"/>
  <c r="I23" i="2"/>
  <c r="P11" i="2" l="1"/>
  <c r="Q8" i="2"/>
  <c r="K3" i="2"/>
  <c r="J23" i="2"/>
  <c r="R8" i="2" l="1"/>
  <c r="R11" i="2" s="1"/>
  <c r="Q11" i="2"/>
  <c r="K23" i="2"/>
  <c r="L3" i="2"/>
  <c r="L23" i="2" l="1"/>
  <c r="M3" i="2"/>
  <c r="M23" i="2" l="1"/>
  <c r="N3" i="2"/>
  <c r="O3" i="2" l="1"/>
  <c r="N23" i="2"/>
  <c r="O23" i="2" l="1"/>
  <c r="P3" i="2"/>
  <c r="Q3" i="2" l="1"/>
  <c r="P23" i="2"/>
  <c r="R3" i="2" l="1"/>
  <c r="Q23" i="2"/>
  <c r="R23" i="2" l="1"/>
  <c r="M7" i="2" l="1"/>
  <c r="M24" i="2" s="1"/>
  <c r="K7" i="2"/>
  <c r="K24" i="2" s="1"/>
  <c r="Q7" i="2"/>
  <c r="Q12" i="2" s="1"/>
  <c r="R7" i="2"/>
  <c r="J7" i="2"/>
  <c r="J24" i="2" s="1"/>
  <c r="O7" i="2"/>
  <c r="O24" i="2" s="1"/>
  <c r="O12" i="2"/>
  <c r="O16" i="2" s="1"/>
  <c r="O17" i="2" s="1"/>
  <c r="O18" i="2" s="1"/>
  <c r="O20" i="2" s="1"/>
  <c r="P7" i="2"/>
  <c r="P12" i="2" s="1"/>
  <c r="P24" i="2"/>
  <c r="N7" i="2"/>
  <c r="N24" i="2" s="1"/>
  <c r="I7" i="2"/>
  <c r="I12" i="2" s="1"/>
  <c r="L7" i="2"/>
  <c r="L24" i="2" s="1"/>
  <c r="N12" i="2" l="1"/>
  <c r="N25" i="2" s="1"/>
  <c r="M12" i="2"/>
  <c r="L12" i="2"/>
  <c r="O25" i="2"/>
  <c r="K12" i="2"/>
  <c r="K16" i="2" s="1"/>
  <c r="J12" i="2"/>
  <c r="J25" i="2" s="1"/>
  <c r="Q24" i="2"/>
  <c r="I24" i="2"/>
  <c r="R12" i="2"/>
  <c r="R24" i="2"/>
  <c r="Q25" i="2"/>
  <c r="Q16" i="2"/>
  <c r="P25" i="2"/>
  <c r="P16" i="2"/>
  <c r="R4" i="1"/>
  <c r="S5" i="1" s="1"/>
  <c r="I25" i="2"/>
  <c r="R19" i="1"/>
  <c r="O19" i="1" s="1"/>
  <c r="I16" i="2"/>
  <c r="N16" i="2"/>
  <c r="K25" i="2" l="1"/>
  <c r="J16" i="2"/>
  <c r="R2" i="1"/>
  <c r="S2" i="1" s="1"/>
  <c r="M16" i="2"/>
  <c r="M25" i="2"/>
  <c r="L25" i="2"/>
  <c r="L16" i="2"/>
  <c r="N17" i="2"/>
  <c r="N18" i="2" s="1"/>
  <c r="N20" i="2" s="1"/>
  <c r="I17" i="2"/>
  <c r="I18" i="2" s="1"/>
  <c r="I20" i="2" s="1"/>
  <c r="J17" i="2"/>
  <c r="J18" i="2" s="1"/>
  <c r="J20" i="2" s="1"/>
  <c r="P17" i="2"/>
  <c r="P18" i="2" s="1"/>
  <c r="P20" i="2" s="1"/>
  <c r="Q17" i="2"/>
  <c r="Q18" i="2" s="1"/>
  <c r="Q20" i="2" s="1"/>
  <c r="K17" i="2"/>
  <c r="K18" i="2"/>
  <c r="K20" i="2" s="1"/>
  <c r="S19" i="1"/>
  <c r="R16" i="2"/>
  <c r="R3" i="1"/>
  <c r="S3" i="1" s="1"/>
  <c r="R25" i="2"/>
  <c r="M17" i="2" l="1"/>
  <c r="M18" i="2" s="1"/>
  <c r="M20" i="2" s="1"/>
  <c r="L17" i="2"/>
  <c r="L18" i="2"/>
  <c r="L20" i="2" s="1"/>
  <c r="R17" i="2"/>
  <c r="R18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Q20" i="2" s="1"/>
  <c r="ER20" i="2" s="1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FC20" i="2" s="1"/>
  <c r="FD20" i="2" s="1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FO20" i="2" s="1"/>
  <c r="FP20" i="2" s="1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GJ20" i="2" s="1"/>
  <c r="GK20" i="2" s="1"/>
  <c r="GL20" i="2" s="1"/>
  <c r="GM20" i="2" s="1"/>
  <c r="GN20" i="2" s="1"/>
  <c r="U25" i="2" l="1"/>
  <c r="U26" i="2" s="1"/>
  <c r="U27" i="2" s="1"/>
</calcChain>
</file>

<file path=xl/sharedStrings.xml><?xml version="1.0" encoding="utf-8"?>
<sst xmlns="http://schemas.openxmlformats.org/spreadsheetml/2006/main" count="93" uniqueCount="78">
  <si>
    <t>Price</t>
  </si>
  <si>
    <t>Shares</t>
  </si>
  <si>
    <t>MC</t>
  </si>
  <si>
    <t>Cash</t>
  </si>
  <si>
    <t>Debt</t>
  </si>
  <si>
    <t>EV</t>
  </si>
  <si>
    <t>Assets</t>
  </si>
  <si>
    <t>Liabilities</t>
  </si>
  <si>
    <t>Equity</t>
  </si>
  <si>
    <t>CA</t>
  </si>
  <si>
    <t>CL</t>
  </si>
  <si>
    <t>PPE</t>
  </si>
  <si>
    <t>ROU</t>
  </si>
  <si>
    <t>INV</t>
  </si>
  <si>
    <t>CFFO</t>
  </si>
  <si>
    <t>CX</t>
  </si>
  <si>
    <t>FCF</t>
  </si>
  <si>
    <t>ROTA</t>
  </si>
  <si>
    <t>scale</t>
  </si>
  <si>
    <t>D/E</t>
  </si>
  <si>
    <t>CA/CL</t>
  </si>
  <si>
    <t>ROIC</t>
  </si>
  <si>
    <t>Main</t>
  </si>
  <si>
    <t>Revenue</t>
  </si>
  <si>
    <t>COGS</t>
  </si>
  <si>
    <t>Developer</t>
  </si>
  <si>
    <t>Infrastructure</t>
  </si>
  <si>
    <t>R&amp;D</t>
  </si>
  <si>
    <t>G&amp;A</t>
  </si>
  <si>
    <t>S</t>
  </si>
  <si>
    <t>OpEx</t>
  </si>
  <si>
    <t>OpInc</t>
  </si>
  <si>
    <t>Interest</t>
  </si>
  <si>
    <t>Other</t>
  </si>
  <si>
    <t>Pretax Income</t>
  </si>
  <si>
    <t>Tax</t>
  </si>
  <si>
    <t>Net Income</t>
  </si>
  <si>
    <t>NCI</t>
  </si>
  <si>
    <t>Revenue Growth</t>
  </si>
  <si>
    <t>Gross Margin</t>
  </si>
  <si>
    <t>Op Margin</t>
  </si>
  <si>
    <t>"Robux": one-time purchases or monthly subscriptions</t>
  </si>
  <si>
    <t>Revenue Recognition</t>
  </si>
  <si>
    <t>deffered revenue and cost from durables?</t>
  </si>
  <si>
    <t>ePU life</t>
  </si>
  <si>
    <t>(months)</t>
  </si>
  <si>
    <t>COGS: 3rd party payment processing fees</t>
  </si>
  <si>
    <t>NA</t>
  </si>
  <si>
    <t>Europe</t>
  </si>
  <si>
    <t>APAC</t>
  </si>
  <si>
    <t>Total</t>
  </si>
  <si>
    <t>% US</t>
  </si>
  <si>
    <t>% Other</t>
  </si>
  <si>
    <t>Growth</t>
  </si>
  <si>
    <t>Consumables virtual items: once consumed (10%)</t>
  </si>
  <si>
    <t>Durable virtual items: across avg lifetime and PU (90%)</t>
  </si>
  <si>
    <t>ABPDAU</t>
  </si>
  <si>
    <t>B</t>
  </si>
  <si>
    <t>DAU</t>
  </si>
  <si>
    <t>Pop</t>
  </si>
  <si>
    <t>Kids</t>
  </si>
  <si>
    <t>% MS</t>
  </si>
  <si>
    <t>Gross Profit</t>
  </si>
  <si>
    <t>M</t>
  </si>
  <si>
    <t>T</t>
  </si>
  <si>
    <t>W</t>
  </si>
  <si>
    <t>F</t>
  </si>
  <si>
    <t>eDAU</t>
  </si>
  <si>
    <t>eMS%</t>
  </si>
  <si>
    <t>Delta DAU</t>
  </si>
  <si>
    <t>EBIT</t>
  </si>
  <si>
    <t>Maturity</t>
  </si>
  <si>
    <t>Discount</t>
  </si>
  <si>
    <t>NPV</t>
  </si>
  <si>
    <t>Difference</t>
  </si>
  <si>
    <t>eEBIT</t>
  </si>
  <si>
    <t>Delta</t>
  </si>
  <si>
    <t>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</si>
</sst>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0" borderId="0" xfId="1"/>
    <xf numFmtId="16" fontId="0" fillId="0" borderId="0" xfId="0" applyNumberFormat="1"/>
    <xf numFmtId="164" fontId="0" fillId="0" borderId="0" xfId="0" applyNumberFormat="1"/>
    <xf numFmtId="0" fontId="0" fillId="2" borderId="0" xfId="0" applyFill="1"/>
    <xf numFmtId="1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n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E48C-BDA2-4EED-BA9D-298D60BFB261}">
  <dimension ref="A2:S34"/>
  <sheetViews>
    <sheetView topLeftCell="D1" zoomScale="93" zoomScaleNormal="70" workbookViewId="0">
      <selection activeCell="R4" sqref="R4"/>
    </sheetView>
  </sheetViews>
  <sheetFormatPr defaultRowHeight="14.5" x14ac:dyDescent="0.35"/>
  <cols>
    <col min="13" max="13" width="9.453125" bestFit="1" customWidth="1"/>
  </cols>
  <sheetData>
    <row r="2" spans="1:19" x14ac:dyDescent="0.35">
      <c r="B2" t="s">
        <v>41</v>
      </c>
      <c r="I2" t="s">
        <v>0</v>
      </c>
      <c r="J2" s="2">
        <v>131</v>
      </c>
      <c r="L2" t="s">
        <v>6</v>
      </c>
      <c r="M2" s="1"/>
      <c r="N2" s="1">
        <v>6168</v>
      </c>
      <c r="O2" s="1">
        <v>7175</v>
      </c>
      <c r="P2" s="1"/>
      <c r="Q2" s="1" t="s">
        <v>70</v>
      </c>
      <c r="R2" s="1">
        <f>Model!J12/1.1</f>
        <v>-553.04819115153225</v>
      </c>
      <c r="S2" s="3">
        <f>R2/$J$7</f>
        <v>-6.4298330782491808E-3</v>
      </c>
    </row>
    <row r="3" spans="1:19" x14ac:dyDescent="0.35">
      <c r="A3" t="s">
        <v>42</v>
      </c>
      <c r="I3" t="s">
        <v>1</v>
      </c>
      <c r="J3" s="1">
        <f>(618997327+48302658)/1000000</f>
        <v>667.29998499999999</v>
      </c>
      <c r="L3" t="s">
        <v>7</v>
      </c>
      <c r="M3" s="1"/>
      <c r="N3" s="1">
        <v>6099</v>
      </c>
      <c r="O3" s="1">
        <v>6966</v>
      </c>
      <c r="P3" s="1"/>
      <c r="Q3" s="1" t="s">
        <v>75</v>
      </c>
      <c r="R3" s="1">
        <f>Model!R12/(1.1^9)</f>
        <v>2779.9573823238256</v>
      </c>
      <c r="S3" s="3">
        <f>R3/$J$7</f>
        <v>3.2320261089311068E-2</v>
      </c>
    </row>
    <row r="4" spans="1:19" x14ac:dyDescent="0.35">
      <c r="B4" t="s">
        <v>54</v>
      </c>
      <c r="I4" t="s">
        <v>2</v>
      </c>
      <c r="J4" s="1">
        <f>J2*J3</f>
        <v>87416.298035</v>
      </c>
      <c r="L4" t="s">
        <v>8</v>
      </c>
      <c r="M4" s="1"/>
      <c r="N4" s="1">
        <f>N2-N3</f>
        <v>69</v>
      </c>
      <c r="O4" s="1">
        <f>O2-O3</f>
        <v>209</v>
      </c>
      <c r="P4" s="1"/>
      <c r="Q4" s="1" t="s">
        <v>76</v>
      </c>
      <c r="R4" s="1">
        <f>(Model!I12-Model!F12)/3</f>
        <v>18.83768058259913</v>
      </c>
    </row>
    <row r="5" spans="1:19" x14ac:dyDescent="0.35">
      <c r="B5" t="s">
        <v>55</v>
      </c>
      <c r="I5" t="s">
        <v>3</v>
      </c>
      <c r="J5" s="1">
        <f>711.6+1697.86</f>
        <v>2409.46</v>
      </c>
      <c r="L5" t="s">
        <v>9</v>
      </c>
      <c r="M5" s="1"/>
      <c r="N5" s="1">
        <v>3275</v>
      </c>
      <c r="O5" s="1">
        <v>3728</v>
      </c>
      <c r="P5" s="1"/>
      <c r="Q5" s="1" t="s">
        <v>15</v>
      </c>
      <c r="R5" s="1">
        <f>AVERAGE(M12:O12)*-1</f>
        <v>1372.6966666666667</v>
      </c>
      <c r="S5" s="3">
        <f>R4/R5</f>
        <v>1.3723119637452652E-2</v>
      </c>
    </row>
    <row r="6" spans="1:19" x14ac:dyDescent="0.35">
      <c r="I6" t="s">
        <v>4</v>
      </c>
      <c r="J6" s="1">
        <f>(1006)</f>
        <v>1006</v>
      </c>
      <c r="L6" t="s">
        <v>10</v>
      </c>
      <c r="M6" s="1"/>
      <c r="N6" s="1">
        <v>3052</v>
      </c>
      <c r="O6" s="1">
        <v>3663</v>
      </c>
      <c r="P6" s="1"/>
      <c r="Q6" s="1"/>
      <c r="R6" s="1"/>
    </row>
    <row r="7" spans="1:19" x14ac:dyDescent="0.35">
      <c r="B7" t="s">
        <v>43</v>
      </c>
      <c r="I7" t="s">
        <v>5</v>
      </c>
      <c r="J7" s="1">
        <f>J4+J6-J5</f>
        <v>86012.838034999993</v>
      </c>
      <c r="L7" t="s">
        <v>11</v>
      </c>
      <c r="M7" s="1"/>
      <c r="N7" s="1">
        <v>695</v>
      </c>
      <c r="O7" s="1">
        <v>659.5</v>
      </c>
      <c r="P7" s="1"/>
      <c r="Q7" s="1"/>
      <c r="R7" s="1"/>
    </row>
    <row r="8" spans="1:19" x14ac:dyDescent="0.35">
      <c r="J8" s="2">
        <f>J7/O11</f>
        <v>104.60031379666788</v>
      </c>
      <c r="L8" t="s">
        <v>12</v>
      </c>
      <c r="M8" s="1"/>
      <c r="N8" s="1">
        <v>665</v>
      </c>
      <c r="O8" s="1">
        <v>665.8</v>
      </c>
      <c r="P8" s="1"/>
      <c r="Q8" s="1"/>
      <c r="R8" s="1"/>
    </row>
    <row r="9" spans="1:19" x14ac:dyDescent="0.35">
      <c r="C9">
        <v>2021</v>
      </c>
      <c r="D9">
        <v>2022</v>
      </c>
      <c r="E9">
        <f>D9+1</f>
        <v>2023</v>
      </c>
      <c r="F9">
        <f>E9+1</f>
        <v>2024</v>
      </c>
      <c r="L9" t="s">
        <v>13</v>
      </c>
      <c r="M9" s="1"/>
      <c r="N9" s="1">
        <v>1043</v>
      </c>
      <c r="O9" s="1">
        <v>1610</v>
      </c>
      <c r="P9" s="1"/>
      <c r="Q9" s="1"/>
      <c r="R9" s="1"/>
    </row>
    <row r="10" spans="1:19" x14ac:dyDescent="0.35">
      <c r="B10" t="s">
        <v>44</v>
      </c>
      <c r="C10">
        <v>23</v>
      </c>
      <c r="D10">
        <v>25</v>
      </c>
      <c r="E10">
        <v>28</v>
      </c>
      <c r="F10">
        <v>27</v>
      </c>
      <c r="G10" t="s">
        <v>45</v>
      </c>
      <c r="M10" s="1"/>
      <c r="N10" s="1"/>
      <c r="O10" s="1"/>
      <c r="P10" s="1"/>
      <c r="Q10" s="1"/>
      <c r="R10" s="1"/>
    </row>
    <row r="11" spans="1:19" x14ac:dyDescent="0.35">
      <c r="E11" s="5"/>
      <c r="F11" s="1">
        <f>AVERAGE(C10:F10)</f>
        <v>25.75</v>
      </c>
      <c r="G11" s="2">
        <f>F11/12</f>
        <v>2.1458333333333335</v>
      </c>
      <c r="H11" t="s">
        <v>77</v>
      </c>
      <c r="L11" t="s">
        <v>14</v>
      </c>
      <c r="M11" s="1">
        <v>369.29</v>
      </c>
      <c r="N11" s="1">
        <v>458.18</v>
      </c>
      <c r="O11" s="1">
        <v>822.3</v>
      </c>
      <c r="P11" s="1"/>
      <c r="Q11" s="1"/>
      <c r="R11" s="1"/>
    </row>
    <row r="12" spans="1:19" x14ac:dyDescent="0.35">
      <c r="B12" t="s">
        <v>46</v>
      </c>
      <c r="L12" t="s">
        <v>15</v>
      </c>
      <c r="M12" s="1">
        <v>-441</v>
      </c>
      <c r="N12" s="1">
        <v>-2825.09</v>
      </c>
      <c r="O12" s="1">
        <v>-852</v>
      </c>
      <c r="P12" s="1"/>
      <c r="Q12" s="1"/>
      <c r="R12" s="1"/>
    </row>
    <row r="13" spans="1:19" x14ac:dyDescent="0.35">
      <c r="L13" t="s">
        <v>16</v>
      </c>
      <c r="M13" s="1">
        <f>M11+M12</f>
        <v>-71.70999999999998</v>
      </c>
      <c r="N13" s="1">
        <f>N11+N12</f>
        <v>-2366.9100000000003</v>
      </c>
      <c r="O13" s="1">
        <f>O11+O12</f>
        <v>-29.700000000000045</v>
      </c>
      <c r="P13" s="1"/>
      <c r="Q13" s="1"/>
      <c r="R13" s="1"/>
    </row>
    <row r="14" spans="1:19" x14ac:dyDescent="0.35">
      <c r="C14">
        <v>2022</v>
      </c>
      <c r="D14">
        <f>C14+1</f>
        <v>2023</v>
      </c>
      <c r="E14">
        <f>D14+1</f>
        <v>2024</v>
      </c>
      <c r="F14" s="7">
        <v>2034</v>
      </c>
      <c r="M14" s="1"/>
      <c r="N14" s="1"/>
      <c r="O14" s="1"/>
      <c r="P14" s="1"/>
      <c r="Q14" s="1"/>
      <c r="R14" s="1"/>
    </row>
    <row r="15" spans="1:19" x14ac:dyDescent="0.35">
      <c r="B15" t="s">
        <v>47</v>
      </c>
      <c r="C15" s="1">
        <v>1465.9</v>
      </c>
      <c r="D15" s="1">
        <v>1803.8</v>
      </c>
      <c r="E15" s="1">
        <v>2281.3000000000002</v>
      </c>
      <c r="F15" s="1">
        <f>E15*(1+M28)</f>
        <v>8262.1325677584027</v>
      </c>
      <c r="H15" s="1"/>
      <c r="L15" t="s">
        <v>17</v>
      </c>
      <c r="N15" s="3">
        <f>N11/SUM(N7:N8)</f>
        <v>0.33689705882352944</v>
      </c>
      <c r="O15" s="3">
        <f>O11/SUM(O7:O8)</f>
        <v>0.62046329133026479</v>
      </c>
      <c r="Q15" t="s">
        <v>18</v>
      </c>
    </row>
    <row r="16" spans="1:19" x14ac:dyDescent="0.35">
      <c r="B16" t="s">
        <v>48</v>
      </c>
      <c r="C16" s="1">
        <v>404.4</v>
      </c>
      <c r="D16" s="1">
        <v>505.6</v>
      </c>
      <c r="E16" s="1">
        <v>659.59</v>
      </c>
      <c r="F16" s="1">
        <f>E16*(1+M29)</f>
        <v>2322.8522338355078</v>
      </c>
      <c r="H16" s="1"/>
      <c r="L16" t="s">
        <v>19</v>
      </c>
      <c r="N16" s="3">
        <f>N3/N4</f>
        <v>88.391304347826093</v>
      </c>
      <c r="O16" s="3">
        <f>O3/O4</f>
        <v>33.330143540669859</v>
      </c>
    </row>
    <row r="17" spans="2:19" x14ac:dyDescent="0.35">
      <c r="B17" t="s">
        <v>49</v>
      </c>
      <c r="C17" s="1">
        <v>204.2</v>
      </c>
      <c r="D17" s="1">
        <v>286.89999999999998</v>
      </c>
      <c r="E17" s="1">
        <v>379</v>
      </c>
      <c r="F17" s="1">
        <f>E17*(1+M30)</f>
        <v>9044.3680947230168</v>
      </c>
      <c r="H17" s="1"/>
      <c r="L17" t="s">
        <v>20</v>
      </c>
      <c r="N17" s="3">
        <f>N5/N6</f>
        <v>1.0730668414154654</v>
      </c>
      <c r="O17" s="3">
        <f>O5/O6</f>
        <v>1.0177450177450178</v>
      </c>
    </row>
    <row r="18" spans="2:19" x14ac:dyDescent="0.35">
      <c r="B18" t="s">
        <v>33</v>
      </c>
      <c r="C18" s="1">
        <v>150.4</v>
      </c>
      <c r="D18" s="1">
        <v>202.89</v>
      </c>
      <c r="E18" s="1">
        <v>282</v>
      </c>
      <c r="F18" s="1">
        <f>E18*(1+M31)</f>
        <v>2605.5713234410664</v>
      </c>
      <c r="H18" s="1"/>
    </row>
    <row r="19" spans="2:19" x14ac:dyDescent="0.35">
      <c r="B19" t="s">
        <v>50</v>
      </c>
      <c r="C19" s="1">
        <f>SUM(C15:C18)</f>
        <v>2224.9</v>
      </c>
      <c r="D19" s="1">
        <f>SUM(D15:D18)</f>
        <v>2799.19</v>
      </c>
      <c r="E19" s="1">
        <f>SUM(E15:E18)</f>
        <v>3601.8900000000003</v>
      </c>
      <c r="F19" s="1">
        <f>SUM(F15:F18)</f>
        <v>22234.924219757992</v>
      </c>
      <c r="H19" s="1"/>
      <c r="L19" t="s">
        <v>21</v>
      </c>
      <c r="O19" s="3">
        <f>R19/(O4+J6-J5)</f>
        <v>0.72584009364248514</v>
      </c>
      <c r="Q19" t="s">
        <v>70</v>
      </c>
      <c r="R19" s="1">
        <f>Model!I12</f>
        <v>-866.98695825220284</v>
      </c>
      <c r="S19" s="1">
        <f>Model!R12/(1.1^9)</f>
        <v>2779.9573823238256</v>
      </c>
    </row>
    <row r="20" spans="2:19" x14ac:dyDescent="0.35">
      <c r="C20" s="1"/>
      <c r="D20" s="1"/>
      <c r="E20" s="1"/>
      <c r="F20" s="3">
        <f>(F19/E19)^(1/10)-1</f>
        <v>0.19963884717750568</v>
      </c>
      <c r="H20" s="1"/>
      <c r="O20" s="3"/>
      <c r="R20" s="1"/>
      <c r="S20" s="3"/>
    </row>
    <row r="21" spans="2:19" x14ac:dyDescent="0.35">
      <c r="B21" t="s">
        <v>51</v>
      </c>
      <c r="C21" s="3">
        <f>C15/$C$19</f>
        <v>0.65886107240774872</v>
      </c>
      <c r="D21" s="3">
        <f>D15/$D$19</f>
        <v>0.64440070163154339</v>
      </c>
      <c r="E21" s="3">
        <f>E15/$E$19</f>
        <v>0.63336192943149294</v>
      </c>
      <c r="F21" s="1"/>
      <c r="G21" s="1"/>
      <c r="H21" s="1"/>
      <c r="O21" s="3"/>
      <c r="R21" s="1"/>
      <c r="S21" s="3"/>
    </row>
    <row r="22" spans="2:19" x14ac:dyDescent="0.35">
      <c r="B22" t="s">
        <v>52</v>
      </c>
      <c r="C22" s="3">
        <f>1-C21</f>
        <v>0.34113892759225128</v>
      </c>
      <c r="D22" s="3">
        <f t="shared" ref="D22:E22" si="0">1-D21</f>
        <v>0.35559929836845661</v>
      </c>
      <c r="E22" s="3">
        <f t="shared" si="0"/>
        <v>0.36663807056850706</v>
      </c>
      <c r="F22" s="1"/>
      <c r="G22" s="1"/>
      <c r="H22" s="1"/>
    </row>
    <row r="23" spans="2:19" x14ac:dyDescent="0.35">
      <c r="C23" s="3"/>
      <c r="D23" s="3"/>
      <c r="E23" s="3"/>
    </row>
    <row r="24" spans="2:19" x14ac:dyDescent="0.35">
      <c r="B24" t="s">
        <v>53</v>
      </c>
      <c r="C24" s="3"/>
      <c r="D24" s="3">
        <f>D15/C15-1</f>
        <v>0.23050685585647024</v>
      </c>
      <c r="E24" s="3">
        <f>E15/D15-1</f>
        <v>0.26471892671027852</v>
      </c>
    </row>
    <row r="25" spans="2:19" x14ac:dyDescent="0.35">
      <c r="B25" t="s">
        <v>53</v>
      </c>
      <c r="C25" s="3"/>
      <c r="D25" s="3">
        <f>SUM(D16:D18)/SUM(C16:C18)-1</f>
        <v>0.31144927536231903</v>
      </c>
      <c r="E25" s="3">
        <f>SUM(E16:E18)/SUM(D16:D18)-1</f>
        <v>0.32670611519103088</v>
      </c>
    </row>
    <row r="27" spans="2:19" x14ac:dyDescent="0.35">
      <c r="C27" t="s">
        <v>56</v>
      </c>
      <c r="D27" t="s">
        <v>57</v>
      </c>
      <c r="E27" t="s">
        <v>58</v>
      </c>
      <c r="G27" t="s">
        <v>59</v>
      </c>
      <c r="H27" t="s">
        <v>60</v>
      </c>
      <c r="I27" t="s">
        <v>61</v>
      </c>
      <c r="K27" t="s">
        <v>67</v>
      </c>
      <c r="L27" t="s">
        <v>68</v>
      </c>
      <c r="M27" t="s">
        <v>69</v>
      </c>
    </row>
    <row r="28" spans="2:19" x14ac:dyDescent="0.35">
      <c r="B28" t="s">
        <v>47</v>
      </c>
      <c r="C28" s="6">
        <f>AVERAGE(45.03, 32.83, 34.36, 33.53, 46.56, 33.95, 34.36, 35.51, 47.79)</f>
        <v>38.213333333333338</v>
      </c>
      <c r="D28" s="6">
        <f>AVERAGE(599.9, 470.7, 487.6, 525.6, 727.7, 550.2, 587.6, 700.8)</f>
        <v>581.26249999999993</v>
      </c>
      <c r="E28" s="6">
        <f>D28/C28</f>
        <v>15.210986566643403</v>
      </c>
      <c r="G28" s="1">
        <v>617</v>
      </c>
      <c r="H28" s="1">
        <f>G28*0.25</f>
        <v>154.25</v>
      </c>
      <c r="I28" s="3">
        <f>E28/H28</f>
        <v>9.8612554727023682E-2</v>
      </c>
      <c r="J28" s="3"/>
      <c r="K28" s="8">
        <f>H28*$I$34</f>
        <v>55.089285714285715</v>
      </c>
      <c r="L28" s="3">
        <f>K28/H28</f>
        <v>0.35714285714285715</v>
      </c>
      <c r="M28" s="3">
        <f>K28/E28-1</f>
        <v>2.6216773628012104</v>
      </c>
    </row>
    <row r="29" spans="2:19" x14ac:dyDescent="0.35">
      <c r="B29" t="s">
        <v>48</v>
      </c>
      <c r="C29" s="6">
        <f>AVERAGE(9.01, 7.76, 8.16, 8.38, 10.23, 8.44, 8.91, 9.9, 11.95)</f>
        <v>9.1933333333333351</v>
      </c>
      <c r="D29" s="6">
        <f>AVERAGE(149.5, 147.1, 148.3, 158.4, 204.4, 180.9, 183.8, 214.9)</f>
        <v>173.41250000000002</v>
      </c>
      <c r="E29" s="6">
        <f>D29/C29</f>
        <v>18.862853517041334</v>
      </c>
      <c r="G29" s="1">
        <v>744</v>
      </c>
      <c r="H29" s="1">
        <f>G29*0.25</f>
        <v>186</v>
      </c>
      <c r="I29" s="3">
        <f>E29/H29</f>
        <v>0.10141319095183512</v>
      </c>
      <c r="J29" s="3"/>
      <c r="K29" s="8">
        <f>H29*$I$34</f>
        <v>66.428571428571431</v>
      </c>
      <c r="L29" s="3">
        <f>K29/H29</f>
        <v>0.35714285714285715</v>
      </c>
      <c r="M29" s="3">
        <f>K29/E29-1</f>
        <v>2.5216607799322426</v>
      </c>
    </row>
    <row r="30" spans="2:19" x14ac:dyDescent="0.35">
      <c r="B30" t="s">
        <v>49</v>
      </c>
      <c r="C30" s="6">
        <f>AVERAGE(6.77, 6.19, 5.35, 5.24, 6.3, 5.67, 5, 5.21, 6.29)</f>
        <v>5.78</v>
      </c>
      <c r="D30" s="6">
        <f>AVERAGE(92, 92.3, 82.7, 85.2, 108.4, 106.6, 100.9, 116.1, 140.3)</f>
        <v>102.72222222222223</v>
      </c>
      <c r="E30" s="6">
        <f>D30/C30</f>
        <v>17.77201076509035</v>
      </c>
      <c r="G30" s="1">
        <v>4750</v>
      </c>
      <c r="H30" s="1">
        <f>G30*0.25</f>
        <v>1187.5</v>
      </c>
      <c r="I30" s="3">
        <f>E30/H30</f>
        <v>1.4965903802181348E-2</v>
      </c>
      <c r="J30" s="3"/>
      <c r="K30" s="8">
        <f>H30*$I$34</f>
        <v>424.10714285714289</v>
      </c>
      <c r="L30" s="3">
        <f>K30/H30</f>
        <v>0.35714285714285715</v>
      </c>
      <c r="M30" s="3">
        <f>K30/E30-1</f>
        <v>22.863768059955191</v>
      </c>
    </row>
    <row r="31" spans="2:19" x14ac:dyDescent="0.35">
      <c r="B31" t="s">
        <v>33</v>
      </c>
      <c r="C31" s="6">
        <f>AVERAGE(3.79, 3.56, 3.51, 3.63, 4.61, 4.05, 3.84, 3.84, 4.51)</f>
        <v>3.9266666666666663</v>
      </c>
      <c r="D31" s="6">
        <f>AVERAGE(58.1, 63.7, 62.1, 70.3, 86.3, 86.1, 82.9, 96.7, 107.2)</f>
        <v>79.26666666666668</v>
      </c>
      <c r="E31" s="6">
        <f>D31/C31</f>
        <v>20.1867572156197</v>
      </c>
      <c r="G31" s="1">
        <f>8200-SUM(G28:G30)</f>
        <v>2089</v>
      </c>
      <c r="H31" s="1">
        <f>G31*0.25</f>
        <v>522.25</v>
      </c>
      <c r="I31" s="3">
        <f>E31/H31</f>
        <v>3.8653436506691626E-2</v>
      </c>
      <c r="J31" s="3"/>
      <c r="K31" s="8">
        <f>H31*$I$34</f>
        <v>186.51785714285714</v>
      </c>
      <c r="L31" s="3">
        <f>K31/H31</f>
        <v>0.35714285714285715</v>
      </c>
      <c r="M31" s="3">
        <f>K31/E31-1</f>
        <v>8.239614622131441</v>
      </c>
    </row>
    <row r="32" spans="2:19" x14ac:dyDescent="0.35">
      <c r="C32" s="6"/>
      <c r="D32" s="6"/>
      <c r="G32" s="1"/>
    </row>
    <row r="33" spans="2:9" x14ac:dyDescent="0.35">
      <c r="B33" t="s">
        <v>63</v>
      </c>
      <c r="C33" t="s">
        <v>64</v>
      </c>
      <c r="D33" t="s">
        <v>65</v>
      </c>
      <c r="E33" t="s">
        <v>64</v>
      </c>
      <c r="F33" t="s">
        <v>66</v>
      </c>
      <c r="G33" t="s">
        <v>29</v>
      </c>
      <c r="H33" t="s">
        <v>29</v>
      </c>
      <c r="I33" t="s">
        <v>58</v>
      </c>
    </row>
    <row r="34" spans="2:9" x14ac:dyDescent="0.35">
      <c r="B34" s="3">
        <v>0.25</v>
      </c>
      <c r="C34" s="3">
        <v>0.25</v>
      </c>
      <c r="D34" s="3">
        <v>0.25</v>
      </c>
      <c r="E34" s="3">
        <v>0.25</v>
      </c>
      <c r="F34" s="3">
        <v>0.5</v>
      </c>
      <c r="G34" s="3">
        <v>0.5</v>
      </c>
      <c r="H34" s="3">
        <v>0.5</v>
      </c>
      <c r="I34" s="3">
        <f>AVERAGE(B34:H34)</f>
        <v>0.35714285714285715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852B-A49D-4B5E-873F-5FC9CF634F93}">
  <dimension ref="A1:GN34"/>
  <sheetViews>
    <sheetView tabSelected="1" zoomScale="88" workbookViewId="0">
      <selection activeCell="U25" sqref="U25"/>
    </sheetView>
  </sheetViews>
  <sheetFormatPr defaultRowHeight="14.5" x14ac:dyDescent="0.35"/>
  <cols>
    <col min="2" max="2" width="14.81640625" bestFit="1" customWidth="1"/>
    <col min="20" max="20" width="9.453125" bestFit="1" customWidth="1"/>
  </cols>
  <sheetData>
    <row r="1" spans="1:18" x14ac:dyDescent="0.35">
      <c r="A1" s="4" t="s">
        <v>22</v>
      </c>
      <c r="F1" s="3"/>
      <c r="G1" s="3"/>
      <c r="H1" s="3"/>
    </row>
    <row r="2" spans="1:18" x14ac:dyDescent="0.35">
      <c r="C2">
        <v>2019</v>
      </c>
      <c r="D2">
        <f>C2+1</f>
        <v>2020</v>
      </c>
      <c r="E2">
        <f t="shared" ref="E2:I2" si="0">D2+1</f>
        <v>2021</v>
      </c>
      <c r="F2">
        <f t="shared" si="0"/>
        <v>2022</v>
      </c>
      <c r="G2">
        <f t="shared" si="0"/>
        <v>2023</v>
      </c>
      <c r="H2">
        <f t="shared" si="0"/>
        <v>2024</v>
      </c>
      <c r="I2" s="7">
        <f t="shared" si="0"/>
        <v>2025</v>
      </c>
      <c r="J2" s="7">
        <f t="shared" ref="J2" si="1">I2+1</f>
        <v>2026</v>
      </c>
      <c r="K2" s="7">
        <f t="shared" ref="K2" si="2">J2+1</f>
        <v>2027</v>
      </c>
      <c r="L2" s="7">
        <f t="shared" ref="L2" si="3">K2+1</f>
        <v>2028</v>
      </c>
      <c r="M2" s="7">
        <f t="shared" ref="M2" si="4">L2+1</f>
        <v>2029</v>
      </c>
      <c r="N2" s="7">
        <f t="shared" ref="N2" si="5">M2+1</f>
        <v>2030</v>
      </c>
      <c r="O2" s="7">
        <f t="shared" ref="O2" si="6">N2+1</f>
        <v>2031</v>
      </c>
      <c r="P2" s="7">
        <f t="shared" ref="P2" si="7">O2+1</f>
        <v>2032</v>
      </c>
      <c r="Q2" s="7">
        <f t="shared" ref="Q2" si="8">P2+1</f>
        <v>2033</v>
      </c>
      <c r="R2" s="7">
        <f t="shared" ref="R2" si="9">Q2+1</f>
        <v>2034</v>
      </c>
    </row>
    <row r="3" spans="1:18" x14ac:dyDescent="0.35">
      <c r="B3" t="s">
        <v>23</v>
      </c>
      <c r="C3" s="1"/>
      <c r="D3" s="1"/>
      <c r="E3" s="1"/>
      <c r="F3" s="1">
        <v>2225</v>
      </c>
      <c r="G3" s="1">
        <v>2799.2</v>
      </c>
      <c r="H3" s="1">
        <v>3601.9</v>
      </c>
      <c r="I3" s="1">
        <f>H3*(1+Main!$F$20)</f>
        <v>4320.979163648658</v>
      </c>
      <c r="J3" s="1">
        <f>I3*(1+Main!$F$20)</f>
        <v>5183.6144625574989</v>
      </c>
      <c r="K3" s="1">
        <f>J3*(1+Main!$F$20)</f>
        <v>6218.4652780751239</v>
      </c>
      <c r="L3" s="1">
        <f>K3*(1+Main!$F$20)</f>
        <v>7459.9125174033888</v>
      </c>
      <c r="M3" s="1">
        <f>L3*(1+Main!$F$20)</f>
        <v>8949.2008524228459</v>
      </c>
      <c r="N3" s="1">
        <f>M3*(1+Main!$F$20)</f>
        <v>10735.808993760495</v>
      </c>
      <c r="O3" s="1">
        <f>N3*(1+Main!$F$20)</f>
        <v>12879.093524792737</v>
      </c>
      <c r="P3" s="1">
        <f>O3*(1+Main!$F$20)</f>
        <v>15450.260908773638</v>
      </c>
      <c r="Q3" s="1">
        <f>P3*(1+Main!$F$20)</f>
        <v>18534.73318519289</v>
      </c>
      <c r="R3" s="1">
        <f>Q3*(1+Main!$F$20)</f>
        <v>22234.985951027458</v>
      </c>
    </row>
    <row r="4" spans="1:18" x14ac:dyDescent="0.35">
      <c r="B4" t="s">
        <v>24</v>
      </c>
      <c r="C4" s="1"/>
      <c r="D4" s="1"/>
      <c r="E4" s="1"/>
      <c r="F4" s="1">
        <v>547.6</v>
      </c>
      <c r="G4" s="1">
        <v>649.1</v>
      </c>
      <c r="H4" s="1">
        <v>801.1</v>
      </c>
      <c r="I4" s="1">
        <f>I3*(H4/H3-0.005)</f>
        <v>939.42578465565646</v>
      </c>
      <c r="J4" s="1">
        <f t="shared" ref="J4:R4" si="10">J3*(I4/I3-0.005)</f>
        <v>1101.053593000348</v>
      </c>
      <c r="K4" s="1">
        <f t="shared" si="10"/>
        <v>1289.7743365972124</v>
      </c>
      <c r="L4" s="1">
        <f t="shared" si="10"/>
        <v>1509.9638356875951</v>
      </c>
      <c r="M4" s="1">
        <f t="shared" si="10"/>
        <v>1766.6652708618769</v>
      </c>
      <c r="N4" s="1">
        <f t="shared" si="10"/>
        <v>2065.6812439164755</v>
      </c>
      <c r="O4" s="1">
        <f t="shared" si="10"/>
        <v>2413.6759984641931</v>
      </c>
      <c r="P4" s="1">
        <f t="shared" si="10"/>
        <v>2818.2881877137315</v>
      </c>
      <c r="Q4" s="1">
        <f t="shared" si="10"/>
        <v>3288.2543265969184</v>
      </c>
      <c r="R4" s="1">
        <f t="shared" si="10"/>
        <v>3833.5426998300354</v>
      </c>
    </row>
    <row r="5" spans="1:18" x14ac:dyDescent="0.35">
      <c r="B5" t="s">
        <v>25</v>
      </c>
      <c r="C5" s="1"/>
      <c r="D5" s="1"/>
      <c r="E5" s="1"/>
      <c r="F5" s="1">
        <v>623.79999999999995</v>
      </c>
      <c r="G5" s="1">
        <v>740.7</v>
      </c>
      <c r="H5" s="1">
        <v>922.8</v>
      </c>
      <c r="I5" s="1">
        <f>I3*(H5/H3-0.005)</f>
        <v>1085.4218323571588</v>
      </c>
      <c r="J5" s="1">
        <f t="shared" ref="J5:R5" si="11">J3*(I5/I3-0.005)</f>
        <v>1276.1961233574505</v>
      </c>
      <c r="K5" s="1">
        <f t="shared" si="11"/>
        <v>1499.882119806558</v>
      </c>
      <c r="L5" s="1">
        <f t="shared" si="11"/>
        <v>1762.0172945198756</v>
      </c>
      <c r="M5" s="1">
        <f t="shared" si="11"/>
        <v>2069.0383916425367</v>
      </c>
      <c r="N5" s="1">
        <f t="shared" si="11"/>
        <v>2428.4197859472511</v>
      </c>
      <c r="O5" s="1">
        <f t="shared" si="11"/>
        <v>2848.8312448528418</v>
      </c>
      <c r="P5" s="1">
        <f t="shared" si="11"/>
        <v>3340.3173258346537</v>
      </c>
      <c r="Q5" s="1">
        <f t="shared" si="11"/>
        <v>3914.5007600453682</v>
      </c>
      <c r="R5" s="1">
        <f t="shared" si="11"/>
        <v>4584.8122493011588</v>
      </c>
    </row>
    <row r="6" spans="1:18" x14ac:dyDescent="0.35">
      <c r="B6" t="s">
        <v>26</v>
      </c>
      <c r="C6" s="1"/>
      <c r="D6" s="1"/>
      <c r="E6" s="1"/>
      <c r="F6" s="1">
        <v>689</v>
      </c>
      <c r="G6" s="1">
        <v>878.3</v>
      </c>
      <c r="H6" s="1">
        <v>915.4</v>
      </c>
      <c r="I6" s="1">
        <f>I3*(H6/H3-0.005)</f>
        <v>1076.5445048880454</v>
      </c>
      <c r="J6" s="1">
        <f t="shared" ref="J6:R6" si="12">J3*(I6/I3-0.005)</f>
        <v>1265.546536466386</v>
      </c>
      <c r="K6" s="1">
        <f t="shared" si="12"/>
        <v>1487.1064616656449</v>
      </c>
      <c r="L6" s="1">
        <f t="shared" si="12"/>
        <v>1746.6911187157768</v>
      </c>
      <c r="M6" s="1">
        <f t="shared" si="12"/>
        <v>2050.6525157692681</v>
      </c>
      <c r="N6" s="1">
        <f t="shared" si="12"/>
        <v>2406.363375010294</v>
      </c>
      <c r="O6" s="1">
        <f t="shared" si="12"/>
        <v>2822.3715174635572</v>
      </c>
      <c r="P6" s="1">
        <f t="shared" si="12"/>
        <v>3308.5752089727407</v>
      </c>
      <c r="Q6" s="1">
        <f t="shared" si="12"/>
        <v>3876.4216835661696</v>
      </c>
      <c r="R6" s="1">
        <f t="shared" si="12"/>
        <v>4539.1311098920687</v>
      </c>
    </row>
    <row r="7" spans="1:18" x14ac:dyDescent="0.35">
      <c r="B7" t="s">
        <v>62</v>
      </c>
      <c r="C7" s="1"/>
      <c r="D7" s="1"/>
      <c r="E7" s="1"/>
      <c r="F7" s="1">
        <f>F3-SUM(F4:F6)</f>
        <v>364.59999999999991</v>
      </c>
      <c r="G7" s="1">
        <f t="shared" ref="G7:R7" si="13">G3-SUM(G4:G6)</f>
        <v>531.09999999999945</v>
      </c>
      <c r="H7" s="1">
        <f t="shared" si="13"/>
        <v>962.59999999999991</v>
      </c>
      <c r="I7" s="1">
        <f t="shared" si="13"/>
        <v>1219.5870417477972</v>
      </c>
      <c r="J7" s="1">
        <f t="shared" si="13"/>
        <v>1540.8182097333147</v>
      </c>
      <c r="K7" s="1">
        <f t="shared" si="13"/>
        <v>1941.7023600057091</v>
      </c>
      <c r="L7" s="1">
        <f t="shared" si="13"/>
        <v>2441.2402684801418</v>
      </c>
      <c r="M7" s="1">
        <f t="shared" si="13"/>
        <v>3062.8446741491643</v>
      </c>
      <c r="N7" s="1">
        <f t="shared" si="13"/>
        <v>3835.3445888864735</v>
      </c>
      <c r="O7" s="1">
        <f t="shared" si="13"/>
        <v>4794.2147640121448</v>
      </c>
      <c r="P7" s="1">
        <f t="shared" si="13"/>
        <v>5983.0801862525113</v>
      </c>
      <c r="Q7" s="1">
        <f t="shared" si="13"/>
        <v>7455.556414984434</v>
      </c>
      <c r="R7" s="1">
        <f t="shared" si="13"/>
        <v>9277.4998920041962</v>
      </c>
    </row>
    <row r="8" spans="1:18" x14ac:dyDescent="0.35">
      <c r="B8" t="s">
        <v>27</v>
      </c>
      <c r="C8" s="1"/>
      <c r="D8" s="1"/>
      <c r="E8" s="1"/>
      <c r="F8" s="1">
        <v>873.4</v>
      </c>
      <c r="G8" s="1">
        <v>1253.5899999999999</v>
      </c>
      <c r="H8" s="1">
        <v>1444.2</v>
      </c>
      <c r="I8" s="1">
        <f>H8*1.03</f>
        <v>1487.5260000000001</v>
      </c>
      <c r="J8" s="1">
        <f t="shared" ref="J8:R8" si="14">I8*1.03</f>
        <v>1532.1517800000001</v>
      </c>
      <c r="K8" s="1">
        <f t="shared" si="14"/>
        <v>1578.1163334000003</v>
      </c>
      <c r="L8" s="1">
        <f t="shared" si="14"/>
        <v>1625.4598234020002</v>
      </c>
      <c r="M8" s="1">
        <f t="shared" si="14"/>
        <v>1674.2236181040603</v>
      </c>
      <c r="N8" s="1">
        <f t="shared" si="14"/>
        <v>1724.4503266471822</v>
      </c>
      <c r="O8" s="1">
        <f t="shared" si="14"/>
        <v>1776.1838364465978</v>
      </c>
      <c r="P8" s="1">
        <f t="shared" si="14"/>
        <v>1829.4693515399958</v>
      </c>
      <c r="Q8" s="1">
        <f t="shared" si="14"/>
        <v>1884.3534320861957</v>
      </c>
      <c r="R8" s="1">
        <f t="shared" si="14"/>
        <v>1940.8840350487815</v>
      </c>
    </row>
    <row r="9" spans="1:18" x14ac:dyDescent="0.35">
      <c r="B9" t="s">
        <v>28</v>
      </c>
      <c r="C9" s="1"/>
      <c r="D9" s="1"/>
      <c r="E9" s="1"/>
      <c r="F9" s="1">
        <v>297.3</v>
      </c>
      <c r="G9" s="1">
        <v>390</v>
      </c>
      <c r="H9" s="1">
        <v>407.5</v>
      </c>
      <c r="I9" s="1">
        <f>H9*1.03</f>
        <v>419.72500000000002</v>
      </c>
      <c r="J9" s="1">
        <f t="shared" ref="J9:R9" si="15">I9*1.03</f>
        <v>432.31675000000001</v>
      </c>
      <c r="K9" s="1">
        <f t="shared" si="15"/>
        <v>445.28625250000005</v>
      </c>
      <c r="L9" s="1">
        <f t="shared" si="15"/>
        <v>458.64484007500005</v>
      </c>
      <c r="M9" s="1">
        <f t="shared" si="15"/>
        <v>472.40418527725006</v>
      </c>
      <c r="N9" s="1">
        <f t="shared" si="15"/>
        <v>486.5763108355676</v>
      </c>
      <c r="O9" s="1">
        <f t="shared" si="15"/>
        <v>501.17360016063463</v>
      </c>
      <c r="P9" s="1">
        <f t="shared" si="15"/>
        <v>516.20880816545366</v>
      </c>
      <c r="Q9" s="1">
        <f t="shared" si="15"/>
        <v>531.69507241041731</v>
      </c>
      <c r="R9" s="1">
        <f t="shared" si="15"/>
        <v>547.64592458272989</v>
      </c>
    </row>
    <row r="10" spans="1:18" x14ac:dyDescent="0.35">
      <c r="B10" t="s">
        <v>29</v>
      </c>
      <c r="C10" s="1"/>
      <c r="D10" s="1"/>
      <c r="E10" s="1"/>
      <c r="F10" s="1">
        <v>117.4</v>
      </c>
      <c r="G10" s="1">
        <v>146.46</v>
      </c>
      <c r="H10" s="1">
        <v>174.1</v>
      </c>
      <c r="I10" s="1">
        <f>H10*1.03</f>
        <v>179.32300000000001</v>
      </c>
      <c r="J10" s="1">
        <f t="shared" ref="J10:R10" si="16">I10*1.03</f>
        <v>184.70269000000002</v>
      </c>
      <c r="K10" s="1">
        <f t="shared" si="16"/>
        <v>190.24377070000003</v>
      </c>
      <c r="L10" s="1">
        <f t="shared" si="16"/>
        <v>195.95108382100003</v>
      </c>
      <c r="M10" s="1">
        <f t="shared" si="16"/>
        <v>201.82961633563002</v>
      </c>
      <c r="N10" s="1">
        <f t="shared" si="16"/>
        <v>207.88450482569894</v>
      </c>
      <c r="O10" s="1">
        <f t="shared" si="16"/>
        <v>214.12103997046992</v>
      </c>
      <c r="P10" s="1">
        <f t="shared" si="16"/>
        <v>220.54467116958403</v>
      </c>
      <c r="Q10" s="1">
        <f t="shared" si="16"/>
        <v>227.16101130467158</v>
      </c>
      <c r="R10" s="1">
        <f t="shared" si="16"/>
        <v>233.97584164381172</v>
      </c>
    </row>
    <row r="11" spans="1:18" x14ac:dyDescent="0.35">
      <c r="B11" t="s">
        <v>30</v>
      </c>
      <c r="C11" s="1">
        <f>SUM(C4:C10)</f>
        <v>0</v>
      </c>
      <c r="D11" s="1">
        <f>SUM(D4:D10)</f>
        <v>0</v>
      </c>
      <c r="E11" s="1">
        <f>SUM(E4:E10)</f>
        <v>0</v>
      </c>
      <c r="F11" s="1">
        <f>SUM(F8:F10)</f>
        <v>1288.1000000000001</v>
      </c>
      <c r="G11" s="1">
        <f t="shared" ref="G11:R11" si="17">SUM(G8:G10)</f>
        <v>1790.05</v>
      </c>
      <c r="H11" s="1">
        <f t="shared" si="17"/>
        <v>2025.8</v>
      </c>
      <c r="I11" s="1">
        <f t="shared" si="17"/>
        <v>2086.5740000000001</v>
      </c>
      <c r="J11" s="1">
        <f t="shared" si="17"/>
        <v>2149.1712200000002</v>
      </c>
      <c r="K11" s="1">
        <f t="shared" si="17"/>
        <v>2213.6463566000002</v>
      </c>
      <c r="L11" s="1">
        <f t="shared" si="17"/>
        <v>2280.0557472979999</v>
      </c>
      <c r="M11" s="1">
        <f t="shared" si="17"/>
        <v>2348.4574197169404</v>
      </c>
      <c r="N11" s="1">
        <f t="shared" si="17"/>
        <v>2418.9111423084487</v>
      </c>
      <c r="O11" s="1">
        <f t="shared" si="17"/>
        <v>2491.4784765777026</v>
      </c>
      <c r="P11" s="1">
        <f t="shared" si="17"/>
        <v>2566.2228308750337</v>
      </c>
      <c r="Q11" s="1">
        <f t="shared" si="17"/>
        <v>2643.2095158012849</v>
      </c>
      <c r="R11" s="1">
        <f t="shared" si="17"/>
        <v>2722.5058012753229</v>
      </c>
    </row>
    <row r="12" spans="1:18" x14ac:dyDescent="0.35">
      <c r="B12" t="s">
        <v>31</v>
      </c>
      <c r="C12" s="1">
        <f>C3-C11</f>
        <v>0</v>
      </c>
      <c r="D12" s="1">
        <f>D3-D11</f>
        <v>0</v>
      </c>
      <c r="E12" s="1">
        <f>E3-E11</f>
        <v>0</v>
      </c>
      <c r="F12" s="1">
        <f>F7-F11</f>
        <v>-923.50000000000023</v>
      </c>
      <c r="G12" s="1">
        <f t="shared" ref="G12:R12" si="18">G7-G11</f>
        <v>-1258.9500000000005</v>
      </c>
      <c r="H12" s="1">
        <f t="shared" si="18"/>
        <v>-1063.2</v>
      </c>
      <c r="I12" s="1">
        <f t="shared" si="18"/>
        <v>-866.98695825220284</v>
      </c>
      <c r="J12" s="1">
        <f t="shared" si="18"/>
        <v>-608.35301026668549</v>
      </c>
      <c r="K12" s="1">
        <f t="shared" si="18"/>
        <v>-271.94399659429109</v>
      </c>
      <c r="L12" s="1">
        <f t="shared" si="18"/>
        <v>161.18452118214191</v>
      </c>
      <c r="M12" s="1">
        <f t="shared" si="18"/>
        <v>714.38725443222393</v>
      </c>
      <c r="N12" s="1">
        <f t="shared" si="18"/>
        <v>1416.4334465780248</v>
      </c>
      <c r="O12" s="1">
        <f t="shared" si="18"/>
        <v>2302.7362874344421</v>
      </c>
      <c r="P12" s="1">
        <f t="shared" si="18"/>
        <v>3416.8573553774777</v>
      </c>
      <c r="Q12" s="1">
        <f t="shared" si="18"/>
        <v>4812.3468991831487</v>
      </c>
      <c r="R12" s="1">
        <f t="shared" si="18"/>
        <v>6554.9940907288728</v>
      </c>
    </row>
    <row r="13" spans="1:18" x14ac:dyDescent="0.35">
      <c r="B13" t="s">
        <v>32</v>
      </c>
      <c r="C13" s="1"/>
      <c r="D13" s="1"/>
      <c r="E13" s="1"/>
      <c r="F13" s="1">
        <v>38.841999999999999</v>
      </c>
      <c r="G13" s="1">
        <v>141.80000000000001</v>
      </c>
      <c r="H13" s="1">
        <v>179.5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5">
      <c r="B14" t="s">
        <v>32</v>
      </c>
      <c r="C14" s="1"/>
      <c r="D14" s="1"/>
      <c r="E14" s="1"/>
      <c r="F14" s="1">
        <v>-39.902999999999999</v>
      </c>
      <c r="G14" s="1">
        <v>-40.700000000000003</v>
      </c>
      <c r="H14" s="1">
        <v>-41.1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5">
      <c r="B15" t="s">
        <v>33</v>
      </c>
      <c r="C15" s="1"/>
      <c r="D15" s="1"/>
      <c r="E15" s="1"/>
      <c r="F15" s="1">
        <v>-5.74</v>
      </c>
      <c r="G15" s="1">
        <v>-0.5</v>
      </c>
      <c r="H15" s="1">
        <v>-11.5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5">
      <c r="B16" t="s">
        <v>34</v>
      </c>
      <c r="C16" s="1">
        <f>SUM(C12:C15)</f>
        <v>0</v>
      </c>
      <c r="D16" s="1">
        <f t="shared" ref="D16:E16" si="19">SUM(D12:D15)</f>
        <v>0</v>
      </c>
      <c r="E16" s="1">
        <f t="shared" si="19"/>
        <v>0</v>
      </c>
      <c r="F16" s="1">
        <f>SUM(F12:F15)</f>
        <v>-930.30100000000027</v>
      </c>
      <c r="G16" s="1">
        <f>SUM(G12:G15)</f>
        <v>-1158.3500000000006</v>
      </c>
      <c r="H16" s="1">
        <f>SUM(H12:H15)</f>
        <v>-936.30000000000007</v>
      </c>
      <c r="I16" s="1">
        <f>SUM(I12:I15)</f>
        <v>-866.98695825220284</v>
      </c>
      <c r="J16" s="1">
        <f t="shared" ref="J16:R16" si="20">SUM(J12:J15)</f>
        <v>-608.35301026668549</v>
      </c>
      <c r="K16" s="1">
        <f t="shared" si="20"/>
        <v>-271.94399659429109</v>
      </c>
      <c r="L16" s="1">
        <f t="shared" si="20"/>
        <v>161.18452118214191</v>
      </c>
      <c r="M16" s="1">
        <f t="shared" si="20"/>
        <v>714.38725443222393</v>
      </c>
      <c r="N16" s="1">
        <f t="shared" si="20"/>
        <v>1416.4334465780248</v>
      </c>
      <c r="O16" s="1">
        <f t="shared" si="20"/>
        <v>2302.7362874344421</v>
      </c>
      <c r="P16" s="1">
        <f t="shared" si="20"/>
        <v>3416.8573553774777</v>
      </c>
      <c r="Q16" s="1">
        <f t="shared" si="20"/>
        <v>4812.3468991831487</v>
      </c>
      <c r="R16" s="1">
        <f t="shared" si="20"/>
        <v>6554.9940907288728</v>
      </c>
    </row>
    <row r="17" spans="2:196" x14ac:dyDescent="0.35">
      <c r="B17" t="s">
        <v>35</v>
      </c>
      <c r="C17" s="1"/>
      <c r="D17" s="1"/>
      <c r="E17" s="1"/>
      <c r="F17" s="1">
        <v>3.5</v>
      </c>
      <c r="G17" s="1">
        <v>0.4</v>
      </c>
      <c r="H17" s="1">
        <v>4.0999999999999996</v>
      </c>
      <c r="I17" s="1">
        <f>I16*0.18</f>
        <v>-156.05765248539652</v>
      </c>
      <c r="J17" s="1">
        <f>J16*0.18</f>
        <v>-109.50354184800338</v>
      </c>
      <c r="K17" s="1">
        <f t="shared" ref="K17:R17" si="21">K16*0.18</f>
        <v>-48.949919386972397</v>
      </c>
      <c r="L17" s="1">
        <f t="shared" si="21"/>
        <v>29.013213812785541</v>
      </c>
      <c r="M17" s="1">
        <f t="shared" si="21"/>
        <v>128.58970579780029</v>
      </c>
      <c r="N17" s="1">
        <f t="shared" si="21"/>
        <v>254.95802038404446</v>
      </c>
      <c r="O17" s="1">
        <f t="shared" si="21"/>
        <v>414.49253173819955</v>
      </c>
      <c r="P17" s="1">
        <f t="shared" si="21"/>
        <v>615.03432396794597</v>
      </c>
      <c r="Q17" s="1">
        <f t="shared" si="21"/>
        <v>866.22244185296677</v>
      </c>
      <c r="R17" s="1">
        <f t="shared" si="21"/>
        <v>1179.8989363311971</v>
      </c>
    </row>
    <row r="18" spans="2:196" x14ac:dyDescent="0.35">
      <c r="B18" t="s">
        <v>36</v>
      </c>
      <c r="C18" s="1">
        <f>C16-C17</f>
        <v>0</v>
      </c>
      <c r="D18" s="1">
        <f t="shared" ref="D18:E18" si="22">D16-D17</f>
        <v>0</v>
      </c>
      <c r="E18" s="1">
        <f t="shared" si="22"/>
        <v>0</v>
      </c>
      <c r="F18" s="1">
        <f>F16-F17</f>
        <v>-933.80100000000027</v>
      </c>
      <c r="G18" s="1">
        <f>G16-G17</f>
        <v>-1158.7500000000007</v>
      </c>
      <c r="H18" s="1">
        <f>H16-H17</f>
        <v>-940.40000000000009</v>
      </c>
      <c r="I18" s="1">
        <f>I16-I17</f>
        <v>-710.92930576680635</v>
      </c>
      <c r="J18" s="1">
        <f t="shared" ref="J18:R18" si="23">J16-J17</f>
        <v>-498.84946841868214</v>
      </c>
      <c r="K18" s="1">
        <f t="shared" si="23"/>
        <v>-222.9940772073187</v>
      </c>
      <c r="L18" s="1">
        <f t="shared" si="23"/>
        <v>132.17130736935636</v>
      </c>
      <c r="M18" s="1">
        <f t="shared" si="23"/>
        <v>585.79754863442361</v>
      </c>
      <c r="N18" s="1">
        <f t="shared" si="23"/>
        <v>1161.4754261939804</v>
      </c>
      <c r="O18" s="1">
        <f t="shared" si="23"/>
        <v>1888.2437556962427</v>
      </c>
      <c r="P18" s="1">
        <f t="shared" si="23"/>
        <v>2801.8230314095317</v>
      </c>
      <c r="Q18" s="1">
        <f t="shared" si="23"/>
        <v>3946.1244573301819</v>
      </c>
      <c r="R18" s="1">
        <f t="shared" si="23"/>
        <v>5375.0951543976753</v>
      </c>
    </row>
    <row r="19" spans="2:196" x14ac:dyDescent="0.35">
      <c r="B19" t="s">
        <v>37</v>
      </c>
      <c r="C19" s="1"/>
      <c r="D19" s="1"/>
      <c r="E19" s="1"/>
      <c r="F19" s="1">
        <v>-9.6999999999999993</v>
      </c>
      <c r="G19" s="1">
        <v>-6.9</v>
      </c>
      <c r="H19" s="1">
        <v>-5.2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2:196" x14ac:dyDescent="0.35">
      <c r="B20" t="s">
        <v>36</v>
      </c>
      <c r="C20" s="1">
        <f>C18-C19</f>
        <v>0</v>
      </c>
      <c r="D20" s="1">
        <f t="shared" ref="D20:E20" si="24">D18-D19</f>
        <v>0</v>
      </c>
      <c r="E20" s="1">
        <f t="shared" si="24"/>
        <v>0</v>
      </c>
      <c r="F20" s="1">
        <f>F18-F19</f>
        <v>-924.10100000000023</v>
      </c>
      <c r="G20" s="1">
        <f>G18-G19</f>
        <v>-1151.8500000000006</v>
      </c>
      <c r="H20" s="1">
        <f>H18-H19</f>
        <v>-935.2</v>
      </c>
      <c r="I20" s="1">
        <f>I18-I19</f>
        <v>-710.92930576680635</v>
      </c>
      <c r="J20" s="1">
        <f t="shared" ref="J20:R20" si="25">J18-J19</f>
        <v>-498.84946841868214</v>
      </c>
      <c r="K20" s="1">
        <f t="shared" si="25"/>
        <v>-222.9940772073187</v>
      </c>
      <c r="L20" s="1">
        <f t="shared" si="25"/>
        <v>132.17130736935636</v>
      </c>
      <c r="M20" s="1">
        <f t="shared" si="25"/>
        <v>585.79754863442361</v>
      </c>
      <c r="N20" s="1">
        <f t="shared" si="25"/>
        <v>1161.4754261939804</v>
      </c>
      <c r="O20" s="1">
        <f t="shared" si="25"/>
        <v>1888.2437556962427</v>
      </c>
      <c r="P20" s="1">
        <f t="shared" si="25"/>
        <v>2801.8230314095317</v>
      </c>
      <c r="Q20" s="1">
        <f t="shared" si="25"/>
        <v>3946.1244573301819</v>
      </c>
      <c r="R20" s="1">
        <f t="shared" si="25"/>
        <v>5375.0951543976753</v>
      </c>
      <c r="S20" s="1">
        <f>R20*(1+$U$23)</f>
        <v>5428.8461059416522</v>
      </c>
      <c r="T20" s="1">
        <f t="shared" ref="T20:CE20" si="26">S20*(1+$U$23)</f>
        <v>5483.1345670010687</v>
      </c>
      <c r="U20" s="1">
        <f t="shared" si="26"/>
        <v>5537.9659126710794</v>
      </c>
      <c r="V20" s="1">
        <f t="shared" si="26"/>
        <v>5593.3455717977904</v>
      </c>
      <c r="W20" s="1">
        <f t="shared" si="26"/>
        <v>5649.2790275157686</v>
      </c>
      <c r="X20" s="1">
        <f t="shared" si="26"/>
        <v>5705.7718177909264</v>
      </c>
      <c r="Y20" s="1">
        <f t="shared" si="26"/>
        <v>5762.8295359688354</v>
      </c>
      <c r="Z20" s="1">
        <f t="shared" si="26"/>
        <v>5820.4578313285238</v>
      </c>
      <c r="AA20" s="1">
        <f t="shared" si="26"/>
        <v>5878.6624096418091</v>
      </c>
      <c r="AB20" s="1">
        <f t="shared" si="26"/>
        <v>5937.4490337382276</v>
      </c>
      <c r="AC20" s="1">
        <f t="shared" si="26"/>
        <v>5996.8235240756103</v>
      </c>
      <c r="AD20" s="1">
        <f t="shared" si="26"/>
        <v>6056.7917593163666</v>
      </c>
      <c r="AE20" s="1">
        <f t="shared" si="26"/>
        <v>6117.3596769095302</v>
      </c>
      <c r="AF20" s="1">
        <f t="shared" si="26"/>
        <v>6178.5332736786258</v>
      </c>
      <c r="AG20" s="1">
        <f t="shared" si="26"/>
        <v>6240.3186064154124</v>
      </c>
      <c r="AH20" s="1">
        <f t="shared" si="26"/>
        <v>6302.7217924795668</v>
      </c>
      <c r="AI20" s="1">
        <f t="shared" si="26"/>
        <v>6365.7490104043627</v>
      </c>
      <c r="AJ20" s="1">
        <f t="shared" si="26"/>
        <v>6429.4065005084067</v>
      </c>
      <c r="AK20" s="1">
        <f t="shared" si="26"/>
        <v>6493.7005655134908</v>
      </c>
      <c r="AL20" s="1">
        <f t="shared" si="26"/>
        <v>6558.637571168626</v>
      </c>
      <c r="AM20" s="1">
        <f t="shared" si="26"/>
        <v>6624.2239468803127</v>
      </c>
      <c r="AN20" s="1">
        <f t="shared" si="26"/>
        <v>6690.4661863491156</v>
      </c>
      <c r="AO20" s="1">
        <f t="shared" si="26"/>
        <v>6757.3708482126067</v>
      </c>
      <c r="AP20" s="1">
        <f t="shared" si="26"/>
        <v>6824.9445566947325</v>
      </c>
      <c r="AQ20" s="1">
        <f t="shared" si="26"/>
        <v>6893.19400226168</v>
      </c>
      <c r="AR20" s="1">
        <f t="shared" si="26"/>
        <v>6962.1259422842968</v>
      </c>
      <c r="AS20" s="1">
        <f t="shared" si="26"/>
        <v>7031.7472017071395</v>
      </c>
      <c r="AT20" s="1">
        <f t="shared" si="26"/>
        <v>7102.0646737242114</v>
      </c>
      <c r="AU20" s="1">
        <f t="shared" si="26"/>
        <v>7173.0853204614532</v>
      </c>
      <c r="AV20" s="1">
        <f t="shared" si="26"/>
        <v>7244.8161736660677</v>
      </c>
      <c r="AW20" s="1">
        <f t="shared" si="26"/>
        <v>7317.2643354027286</v>
      </c>
      <c r="AX20" s="1">
        <f t="shared" si="26"/>
        <v>7390.4369787567557</v>
      </c>
      <c r="AY20" s="1">
        <f t="shared" si="26"/>
        <v>7464.3413485443234</v>
      </c>
      <c r="AZ20" s="1">
        <f t="shared" si="26"/>
        <v>7538.9847620297669</v>
      </c>
      <c r="BA20" s="1">
        <f t="shared" si="26"/>
        <v>7614.3746096500645</v>
      </c>
      <c r="BB20" s="1">
        <f t="shared" si="26"/>
        <v>7690.5183557465652</v>
      </c>
      <c r="BC20" s="1">
        <f t="shared" si="26"/>
        <v>7767.4235393040308</v>
      </c>
      <c r="BD20" s="1">
        <f t="shared" si="26"/>
        <v>7845.0977746970711</v>
      </c>
      <c r="BE20" s="1">
        <f t="shared" si="26"/>
        <v>7923.5487524440423</v>
      </c>
      <c r="BF20" s="1">
        <f t="shared" si="26"/>
        <v>8002.7842399684832</v>
      </c>
      <c r="BG20" s="1">
        <f t="shared" si="26"/>
        <v>8082.8120823681684</v>
      </c>
      <c r="BH20" s="1">
        <f t="shared" si="26"/>
        <v>8163.6402031918506</v>
      </c>
      <c r="BI20" s="1">
        <f t="shared" si="26"/>
        <v>8245.2766052237694</v>
      </c>
      <c r="BJ20" s="1">
        <f t="shared" si="26"/>
        <v>8327.7293712760074</v>
      </c>
      <c r="BK20" s="1">
        <f t="shared" si="26"/>
        <v>8411.0066649887667</v>
      </c>
      <c r="BL20" s="1">
        <f t="shared" si="26"/>
        <v>8495.1167316386545</v>
      </c>
      <c r="BM20" s="1">
        <f t="shared" si="26"/>
        <v>8580.0678989550415</v>
      </c>
      <c r="BN20" s="1">
        <f t="shared" si="26"/>
        <v>8665.8685779445914</v>
      </c>
      <c r="BO20" s="1">
        <f t="shared" si="26"/>
        <v>8752.5272637240378</v>
      </c>
      <c r="BP20" s="1">
        <f t="shared" si="26"/>
        <v>8840.0525363612778</v>
      </c>
      <c r="BQ20" s="1">
        <f t="shared" si="26"/>
        <v>8928.4530617248911</v>
      </c>
      <c r="BR20" s="1">
        <f t="shared" si="26"/>
        <v>9017.7375923421405</v>
      </c>
      <c r="BS20" s="1">
        <f t="shared" si="26"/>
        <v>9107.9149682655625</v>
      </c>
      <c r="BT20" s="1">
        <f t="shared" si="26"/>
        <v>9198.9941179482175</v>
      </c>
      <c r="BU20" s="1">
        <f t="shared" si="26"/>
        <v>9290.9840591277007</v>
      </c>
      <c r="BV20" s="1">
        <f t="shared" si="26"/>
        <v>9383.893899718978</v>
      </c>
      <c r="BW20" s="1">
        <f t="shared" si="26"/>
        <v>9477.732838716167</v>
      </c>
      <c r="BX20" s="1">
        <f t="shared" si="26"/>
        <v>9572.5101671033281</v>
      </c>
      <c r="BY20" s="1">
        <f t="shared" si="26"/>
        <v>9668.2352687743605</v>
      </c>
      <c r="BZ20" s="1">
        <f t="shared" si="26"/>
        <v>9764.9176214621039</v>
      </c>
      <c r="CA20" s="1">
        <f t="shared" si="26"/>
        <v>9862.5667976767254</v>
      </c>
      <c r="CB20" s="1">
        <f t="shared" si="26"/>
        <v>9961.192465653492</v>
      </c>
      <c r="CC20" s="1">
        <f t="shared" si="26"/>
        <v>10060.804390310028</v>
      </c>
      <c r="CD20" s="1">
        <f t="shared" si="26"/>
        <v>10161.412434213129</v>
      </c>
      <c r="CE20" s="1">
        <f t="shared" si="26"/>
        <v>10263.026558555261</v>
      </c>
      <c r="CF20" s="1">
        <f t="shared" ref="CF20:EQ20" si="27">CE20*(1+$U$23)</f>
        <v>10365.656824140813</v>
      </c>
      <c r="CG20" s="1">
        <f t="shared" si="27"/>
        <v>10469.313392382221</v>
      </c>
      <c r="CH20" s="1">
        <f t="shared" si="27"/>
        <v>10574.006526306042</v>
      </c>
      <c r="CI20" s="1">
        <f t="shared" si="27"/>
        <v>10679.746591569103</v>
      </c>
      <c r="CJ20" s="1">
        <f t="shared" si="27"/>
        <v>10786.544057484794</v>
      </c>
      <c r="CK20" s="1">
        <f t="shared" si="27"/>
        <v>10894.409498059642</v>
      </c>
      <c r="CL20" s="1">
        <f t="shared" si="27"/>
        <v>11003.353593040238</v>
      </c>
      <c r="CM20" s="1">
        <f t="shared" si="27"/>
        <v>11113.38712897064</v>
      </c>
      <c r="CN20" s="1">
        <f t="shared" si="27"/>
        <v>11224.521000260347</v>
      </c>
      <c r="CO20" s="1">
        <f t="shared" si="27"/>
        <v>11336.766210262951</v>
      </c>
      <c r="CP20" s="1">
        <f t="shared" si="27"/>
        <v>11450.133872365581</v>
      </c>
      <c r="CQ20" s="1">
        <f t="shared" si="27"/>
        <v>11564.635211089237</v>
      </c>
      <c r="CR20" s="1">
        <f t="shared" si="27"/>
        <v>11680.281563200129</v>
      </c>
      <c r="CS20" s="1">
        <f t="shared" si="27"/>
        <v>11797.084378832131</v>
      </c>
      <c r="CT20" s="1">
        <f t="shared" si="27"/>
        <v>11915.055222620453</v>
      </c>
      <c r="CU20" s="1">
        <f t="shared" si="27"/>
        <v>12034.205774846658</v>
      </c>
      <c r="CV20" s="1">
        <f t="shared" si="27"/>
        <v>12154.547832595124</v>
      </c>
      <c r="CW20" s="1">
        <f t="shared" si="27"/>
        <v>12276.093310921076</v>
      </c>
      <c r="CX20" s="1">
        <f t="shared" si="27"/>
        <v>12398.854244030288</v>
      </c>
      <c r="CY20" s="1">
        <f t="shared" si="27"/>
        <v>12522.842786470592</v>
      </c>
      <c r="CZ20" s="1">
        <f t="shared" si="27"/>
        <v>12648.071214335298</v>
      </c>
      <c r="DA20" s="1">
        <f t="shared" si="27"/>
        <v>12774.551926478651</v>
      </c>
      <c r="DB20" s="1">
        <f t="shared" si="27"/>
        <v>12902.297445743437</v>
      </c>
      <c r="DC20" s="1">
        <f t="shared" si="27"/>
        <v>13031.320420200873</v>
      </c>
      <c r="DD20" s="1">
        <f t="shared" si="27"/>
        <v>13161.633624402883</v>
      </c>
      <c r="DE20" s="1">
        <f t="shared" si="27"/>
        <v>13293.249960646912</v>
      </c>
      <c r="DF20" s="1">
        <f t="shared" si="27"/>
        <v>13426.182460253382</v>
      </c>
      <c r="DG20" s="1">
        <f t="shared" si="27"/>
        <v>13560.444284855916</v>
      </c>
      <c r="DH20" s="1">
        <f t="shared" si="27"/>
        <v>13696.048727704474</v>
      </c>
      <c r="DI20" s="1">
        <f t="shared" si="27"/>
        <v>13833.009214981519</v>
      </c>
      <c r="DJ20" s="1">
        <f t="shared" si="27"/>
        <v>13971.339307131335</v>
      </c>
      <c r="DK20" s="1">
        <f t="shared" si="27"/>
        <v>14111.052700202648</v>
      </c>
      <c r="DL20" s="1">
        <f t="shared" si="27"/>
        <v>14252.163227204675</v>
      </c>
      <c r="DM20" s="1">
        <f t="shared" si="27"/>
        <v>14394.684859476722</v>
      </c>
      <c r="DN20" s="1">
        <f t="shared" si="27"/>
        <v>14538.631708071489</v>
      </c>
      <c r="DO20" s="1">
        <f t="shared" si="27"/>
        <v>14684.018025152203</v>
      </c>
      <c r="DP20" s="1">
        <f t="shared" si="27"/>
        <v>14830.858205403725</v>
      </c>
      <c r="DQ20" s="1">
        <f t="shared" si="27"/>
        <v>14979.166787457763</v>
      </c>
      <c r="DR20" s="1">
        <f t="shared" si="27"/>
        <v>15128.95845533234</v>
      </c>
      <c r="DS20" s="1">
        <f t="shared" si="27"/>
        <v>15280.248039885664</v>
      </c>
      <c r="DT20" s="1">
        <f t="shared" si="27"/>
        <v>15433.050520284522</v>
      </c>
      <c r="DU20" s="1">
        <f t="shared" si="27"/>
        <v>15587.381025487366</v>
      </c>
      <c r="DV20" s="1">
        <f t="shared" si="27"/>
        <v>15743.25483574224</v>
      </c>
      <c r="DW20" s="1">
        <f t="shared" si="27"/>
        <v>15900.687384099663</v>
      </c>
      <c r="DX20" s="1">
        <f t="shared" si="27"/>
        <v>16059.69425794066</v>
      </c>
      <c r="DY20" s="1">
        <f t="shared" si="27"/>
        <v>16220.291200520067</v>
      </c>
      <c r="DZ20" s="1">
        <f t="shared" si="27"/>
        <v>16382.494112525268</v>
      </c>
      <c r="EA20" s="1">
        <f t="shared" si="27"/>
        <v>16546.319053650521</v>
      </c>
      <c r="EB20" s="1">
        <f t="shared" si="27"/>
        <v>16711.782244187027</v>
      </c>
      <c r="EC20" s="1">
        <f t="shared" si="27"/>
        <v>16878.900066628896</v>
      </c>
      <c r="ED20" s="1">
        <f t="shared" si="27"/>
        <v>17047.689067295185</v>
      </c>
      <c r="EE20" s="1">
        <f t="shared" si="27"/>
        <v>17218.165957968136</v>
      </c>
      <c r="EF20" s="1">
        <f t="shared" si="27"/>
        <v>17390.347617547817</v>
      </c>
      <c r="EG20" s="1">
        <f t="shared" si="27"/>
        <v>17564.251093723295</v>
      </c>
      <c r="EH20" s="1">
        <f t="shared" si="27"/>
        <v>17739.893604660527</v>
      </c>
      <c r="EI20" s="1">
        <f t="shared" si="27"/>
        <v>17917.292540707131</v>
      </c>
      <c r="EJ20" s="1">
        <f t="shared" si="27"/>
        <v>18096.465466114201</v>
      </c>
      <c r="EK20" s="1">
        <f t="shared" si="27"/>
        <v>18277.430120775345</v>
      </c>
      <c r="EL20" s="1">
        <f t="shared" si="27"/>
        <v>18460.2044219831</v>
      </c>
      <c r="EM20" s="1">
        <f t="shared" si="27"/>
        <v>18644.806466202932</v>
      </c>
      <c r="EN20" s="1">
        <f t="shared" si="27"/>
        <v>18831.254530864961</v>
      </c>
      <c r="EO20" s="1">
        <f t="shared" si="27"/>
        <v>19019.567076173611</v>
      </c>
      <c r="EP20" s="1">
        <f t="shared" si="27"/>
        <v>19209.762746935347</v>
      </c>
      <c r="EQ20" s="1">
        <f t="shared" si="27"/>
        <v>19401.8603744047</v>
      </c>
      <c r="ER20" s="1">
        <f t="shared" ref="ER20:GN20" si="28">EQ20*(1+$U$23)</f>
        <v>19595.878978148747</v>
      </c>
      <c r="ES20" s="1">
        <f t="shared" si="28"/>
        <v>19791.837767930236</v>
      </c>
      <c r="ET20" s="1">
        <f t="shared" si="28"/>
        <v>19989.756145609539</v>
      </c>
      <c r="EU20" s="1">
        <f t="shared" si="28"/>
        <v>20189.653707065634</v>
      </c>
      <c r="EV20" s="1">
        <f t="shared" si="28"/>
        <v>20391.550244136291</v>
      </c>
      <c r="EW20" s="1">
        <f t="shared" si="28"/>
        <v>20595.465746577654</v>
      </c>
      <c r="EX20" s="1">
        <f t="shared" si="28"/>
        <v>20801.420404043431</v>
      </c>
      <c r="EY20" s="1">
        <f t="shared" si="28"/>
        <v>21009.434608083866</v>
      </c>
      <c r="EZ20" s="1">
        <f t="shared" si="28"/>
        <v>21219.528954164703</v>
      </c>
      <c r="FA20" s="1">
        <f t="shared" si="28"/>
        <v>21431.724243706351</v>
      </c>
      <c r="FB20" s="1">
        <f t="shared" si="28"/>
        <v>21646.041486143415</v>
      </c>
      <c r="FC20" s="1">
        <f t="shared" si="28"/>
        <v>21862.501901004849</v>
      </c>
      <c r="FD20" s="1">
        <f t="shared" si="28"/>
        <v>22081.126920014896</v>
      </c>
      <c r="FE20" s="1">
        <f t="shared" si="28"/>
        <v>22301.938189215045</v>
      </c>
      <c r="FF20" s="1">
        <f t="shared" si="28"/>
        <v>22524.957571107196</v>
      </c>
      <c r="FG20" s="1">
        <f t="shared" si="28"/>
        <v>22750.207146818269</v>
      </c>
      <c r="FH20" s="1">
        <f t="shared" si="28"/>
        <v>22977.709218286451</v>
      </c>
      <c r="FI20" s="1">
        <f t="shared" si="28"/>
        <v>23207.486310469314</v>
      </c>
      <c r="FJ20" s="1">
        <f t="shared" si="28"/>
        <v>23439.561173574006</v>
      </c>
      <c r="FK20" s="1">
        <f t="shared" si="28"/>
        <v>23673.956785309747</v>
      </c>
      <c r="FL20" s="1">
        <f t="shared" si="28"/>
        <v>23910.696353162846</v>
      </c>
      <c r="FM20" s="1">
        <f t="shared" si="28"/>
        <v>24149.803316694473</v>
      </c>
      <c r="FN20" s="1">
        <f t="shared" si="28"/>
        <v>24391.30134986142</v>
      </c>
      <c r="FO20" s="1">
        <f t="shared" si="28"/>
        <v>24635.214363360035</v>
      </c>
      <c r="FP20" s="1">
        <f t="shared" si="28"/>
        <v>24881.566506993637</v>
      </c>
      <c r="FQ20" s="1">
        <f t="shared" si="28"/>
        <v>25130.382172063575</v>
      </c>
      <c r="FR20" s="1">
        <f t="shared" si="28"/>
        <v>25381.685993784213</v>
      </c>
      <c r="FS20" s="1">
        <f t="shared" si="28"/>
        <v>25635.502853722057</v>
      </c>
      <c r="FT20" s="1">
        <f t="shared" si="28"/>
        <v>25891.857882259279</v>
      </c>
      <c r="FU20" s="1">
        <f t="shared" si="28"/>
        <v>26150.77646108187</v>
      </c>
      <c r="FV20" s="1">
        <f t="shared" si="28"/>
        <v>26412.284225692689</v>
      </c>
      <c r="FW20" s="1">
        <f t="shared" si="28"/>
        <v>26676.407067949614</v>
      </c>
      <c r="FX20" s="1">
        <f t="shared" si="28"/>
        <v>26943.17113862911</v>
      </c>
      <c r="FY20" s="1">
        <f t="shared" si="28"/>
        <v>27212.602850015403</v>
      </c>
      <c r="FZ20" s="1">
        <f t="shared" si="28"/>
        <v>27484.728878515558</v>
      </c>
      <c r="GA20" s="1">
        <f t="shared" si="28"/>
        <v>27759.576167300715</v>
      </c>
      <c r="GB20" s="1">
        <f t="shared" si="28"/>
        <v>28037.171928973723</v>
      </c>
      <c r="GC20" s="1">
        <f t="shared" si="28"/>
        <v>28317.543648263461</v>
      </c>
      <c r="GD20" s="1">
        <f t="shared" si="28"/>
        <v>28600.719084746095</v>
      </c>
      <c r="GE20" s="1">
        <f t="shared" si="28"/>
        <v>28886.726275593555</v>
      </c>
      <c r="GF20" s="1">
        <f t="shared" si="28"/>
        <v>29175.593538349491</v>
      </c>
      <c r="GG20" s="1">
        <f t="shared" si="28"/>
        <v>29467.349473732986</v>
      </c>
      <c r="GH20" s="1">
        <f t="shared" si="28"/>
        <v>29762.022968470315</v>
      </c>
      <c r="GI20" s="1">
        <f t="shared" si="28"/>
        <v>30059.643198155019</v>
      </c>
      <c r="GJ20" s="1">
        <f t="shared" si="28"/>
        <v>30360.23963013657</v>
      </c>
      <c r="GK20" s="1">
        <f t="shared" si="28"/>
        <v>30663.842026437935</v>
      </c>
      <c r="GL20" s="1">
        <f t="shared" si="28"/>
        <v>30970.480446702313</v>
      </c>
      <c r="GM20" s="1">
        <f t="shared" si="28"/>
        <v>31280.185251169336</v>
      </c>
      <c r="GN20" s="1">
        <f t="shared" si="28"/>
        <v>31592.987103681029</v>
      </c>
    </row>
    <row r="21" spans="2:196" x14ac:dyDescent="0.35">
      <c r="F21" s="3">
        <f>F8/F3</f>
        <v>0.39253932584269663</v>
      </c>
      <c r="G21" s="3">
        <f>G8/G3</f>
        <v>0.44783866819091167</v>
      </c>
      <c r="H21" s="3">
        <f>H8/H3</f>
        <v>0.4009550515005969</v>
      </c>
    </row>
    <row r="22" spans="2:196" x14ac:dyDescent="0.35">
      <c r="F22" s="1"/>
    </row>
    <row r="23" spans="2:196" x14ac:dyDescent="0.35">
      <c r="B23" t="s">
        <v>38</v>
      </c>
      <c r="G23" s="3">
        <f t="shared" ref="G23:R23" si="29">G3/F3-1</f>
        <v>0.25806741573033709</v>
      </c>
      <c r="H23" s="3">
        <f t="shared" si="29"/>
        <v>0.28676050300085754</v>
      </c>
      <c r="I23" s="3">
        <f t="shared" si="29"/>
        <v>0.19963884717750568</v>
      </c>
      <c r="J23" s="3">
        <f t="shared" si="29"/>
        <v>0.19963884717750568</v>
      </c>
      <c r="K23" s="3">
        <f t="shared" si="29"/>
        <v>0.19963884717750568</v>
      </c>
      <c r="L23" s="3">
        <f t="shared" si="29"/>
        <v>0.19963884717750568</v>
      </c>
      <c r="M23" s="3">
        <f t="shared" si="29"/>
        <v>0.19963884717750568</v>
      </c>
      <c r="N23" s="3">
        <f t="shared" si="29"/>
        <v>0.19963884717750568</v>
      </c>
      <c r="O23" s="3">
        <f t="shared" si="29"/>
        <v>0.19963884717750568</v>
      </c>
      <c r="P23" s="3">
        <f t="shared" si="29"/>
        <v>0.19963884717750568</v>
      </c>
      <c r="Q23" s="3">
        <f t="shared" si="29"/>
        <v>0.19963884717750568</v>
      </c>
      <c r="R23" s="3">
        <f t="shared" si="29"/>
        <v>0.19963884717750568</v>
      </c>
      <c r="T23" t="s">
        <v>71</v>
      </c>
      <c r="U23" s="3">
        <v>0.01</v>
      </c>
    </row>
    <row r="24" spans="2:196" x14ac:dyDescent="0.35">
      <c r="B24" t="s">
        <v>39</v>
      </c>
      <c r="F24" s="3">
        <f t="shared" ref="F24:R24" si="30">F7/F3</f>
        <v>0.16386516853932581</v>
      </c>
      <c r="G24" s="3">
        <f t="shared" si="30"/>
        <v>0.18973278079451253</v>
      </c>
      <c r="H24" s="3">
        <f t="shared" si="30"/>
        <v>0.2672478414170299</v>
      </c>
      <c r="I24" s="3">
        <f t="shared" si="30"/>
        <v>0.28224784141702997</v>
      </c>
      <c r="J24" s="3">
        <f t="shared" si="30"/>
        <v>0.29724784141703003</v>
      </c>
      <c r="K24" s="3">
        <f t="shared" si="30"/>
        <v>0.31224784141703005</v>
      </c>
      <c r="L24" s="3">
        <f t="shared" si="30"/>
        <v>0.32724784141703006</v>
      </c>
      <c r="M24" s="3">
        <f t="shared" si="30"/>
        <v>0.34224784141703007</v>
      </c>
      <c r="N24" s="3">
        <f t="shared" si="30"/>
        <v>0.35724784141702998</v>
      </c>
      <c r="O24" s="3">
        <f t="shared" si="30"/>
        <v>0.37224784141702999</v>
      </c>
      <c r="P24" s="3">
        <f t="shared" si="30"/>
        <v>0.38724784141703</v>
      </c>
      <c r="Q24" s="3">
        <f t="shared" si="30"/>
        <v>0.40224784141703007</v>
      </c>
      <c r="R24" s="3">
        <f t="shared" si="30"/>
        <v>0.41724784141703009</v>
      </c>
      <c r="T24" t="s">
        <v>72</v>
      </c>
      <c r="U24" s="3">
        <v>0.1</v>
      </c>
    </row>
    <row r="25" spans="2:196" x14ac:dyDescent="0.35">
      <c r="B25" t="s">
        <v>40</v>
      </c>
      <c r="F25" s="3">
        <f t="shared" ref="F25:R25" si="31">F12/F3</f>
        <v>-0.41505617977528098</v>
      </c>
      <c r="G25" s="3">
        <f t="shared" si="31"/>
        <v>-0.44975350100028599</v>
      </c>
      <c r="H25" s="3">
        <f t="shared" si="31"/>
        <v>-0.29517754518448597</v>
      </c>
      <c r="I25" s="3">
        <f t="shared" si="31"/>
        <v>-0.20064594746161987</v>
      </c>
      <c r="J25" s="3">
        <f t="shared" si="31"/>
        <v>-0.1173607749304981</v>
      </c>
      <c r="K25" s="3">
        <f t="shared" si="31"/>
        <v>-4.3731690125070409E-2</v>
      </c>
      <c r="L25" s="3">
        <f t="shared" si="31"/>
        <v>2.1606757559972867E-2</v>
      </c>
      <c r="M25" s="3">
        <f t="shared" si="31"/>
        <v>7.9826932729844313E-2</v>
      </c>
      <c r="N25" s="3">
        <f t="shared" si="31"/>
        <v>0.13193541794579586</v>
      </c>
      <c r="O25" s="3">
        <f t="shared" si="31"/>
        <v>0.1787964566762085</v>
      </c>
      <c r="P25" s="3">
        <f t="shared" si="31"/>
        <v>0.22115208122065882</v>
      </c>
      <c r="Q25" s="3">
        <f t="shared" si="31"/>
        <v>0.25963939437917877</v>
      </c>
      <c r="R25" s="3">
        <f t="shared" si="31"/>
        <v>0.29480540735066091</v>
      </c>
      <c r="T25" t="s">
        <v>73</v>
      </c>
      <c r="U25" s="1">
        <f>NPV(U24,I20:GN20)+Main!J5-Main!J6</f>
        <v>30565.056615229038</v>
      </c>
    </row>
    <row r="26" spans="2:196" x14ac:dyDescent="0.35"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t="s">
        <v>0</v>
      </c>
      <c r="U26" s="2">
        <f>U25/Main!J3</f>
        <v>45.80407208495447</v>
      </c>
    </row>
    <row r="27" spans="2:196" x14ac:dyDescent="0.35">
      <c r="T27" t="s">
        <v>74</v>
      </c>
      <c r="U27" s="3">
        <f>U26/Main!J2-1</f>
        <v>-0.65035059477133994</v>
      </c>
    </row>
    <row r="28" spans="2:196" x14ac:dyDescent="0.35">
      <c r="E28" s="7">
        <v>1</v>
      </c>
      <c r="F28" s="7">
        <f>E28+1</f>
        <v>2</v>
      </c>
      <c r="G28" s="7">
        <f t="shared" ref="G28:L28" si="32">F28+1</f>
        <v>3</v>
      </c>
      <c r="H28" s="7">
        <f t="shared" si="32"/>
        <v>4</v>
      </c>
      <c r="I28" s="7">
        <f t="shared" si="32"/>
        <v>5</v>
      </c>
      <c r="J28" s="7">
        <f t="shared" si="32"/>
        <v>6</v>
      </c>
      <c r="K28" s="7">
        <f t="shared" si="32"/>
        <v>7</v>
      </c>
      <c r="L28" s="7">
        <f t="shared" si="32"/>
        <v>8</v>
      </c>
      <c r="M28" s="7">
        <f t="shared" ref="M28:N28" si="33">L28+1</f>
        <v>9</v>
      </c>
      <c r="N28" s="7">
        <f t="shared" si="33"/>
        <v>10</v>
      </c>
    </row>
    <row r="29" spans="2:196" x14ac:dyDescent="0.35">
      <c r="D29">
        <v>100</v>
      </c>
      <c r="E29" s="1">
        <f>D29*1.01</f>
        <v>101</v>
      </c>
      <c r="F29" s="1">
        <f t="shared" ref="F29:L29" si="34">E29*1.01</f>
        <v>102.01</v>
      </c>
      <c r="G29" s="1">
        <f t="shared" si="34"/>
        <v>103.0301</v>
      </c>
      <c r="H29" s="1">
        <f t="shared" si="34"/>
        <v>104.060401</v>
      </c>
      <c r="I29" s="1">
        <f t="shared" si="34"/>
        <v>105.10100500999999</v>
      </c>
      <c r="J29" s="1">
        <f t="shared" si="34"/>
        <v>106.1520150601</v>
      </c>
      <c r="K29" s="1">
        <f t="shared" si="34"/>
        <v>107.213535210701</v>
      </c>
      <c r="L29" s="1">
        <f t="shared" si="34"/>
        <v>108.28567056280801</v>
      </c>
      <c r="M29" s="1">
        <f t="shared" ref="M29:N29" si="35">L29*1.01</f>
        <v>109.36852726843608</v>
      </c>
      <c r="N29" s="1">
        <f t="shared" si="35"/>
        <v>110.46221254112045</v>
      </c>
    </row>
    <row r="30" spans="2:196" x14ac:dyDescent="0.35">
      <c r="D30">
        <f>D29*0.5</f>
        <v>50</v>
      </c>
      <c r="E30" s="1">
        <f>E29*(D30/D29+0.01)</f>
        <v>51.51</v>
      </c>
      <c r="F30" s="1">
        <f t="shared" ref="F30:L30" si="36">F29*(E30/E29+0.01)</f>
        <v>53.045200000000001</v>
      </c>
      <c r="G30" s="1">
        <f t="shared" si="36"/>
        <v>54.605953000000007</v>
      </c>
      <c r="H30" s="1">
        <f t="shared" si="36"/>
        <v>56.192616540000003</v>
      </c>
      <c r="I30" s="1">
        <f t="shared" si="36"/>
        <v>57.805552755500003</v>
      </c>
      <c r="J30" s="1">
        <f t="shared" si="36"/>
        <v>59.445128433656002</v>
      </c>
      <c r="K30" s="1">
        <f t="shared" si="36"/>
        <v>61.111715070099578</v>
      </c>
      <c r="L30" s="1">
        <f t="shared" si="36"/>
        <v>62.805688926428651</v>
      </c>
      <c r="M30" s="1">
        <f t="shared" ref="M30" si="37">M29*(L30/L29+0.01)</f>
        <v>64.527431088377298</v>
      </c>
      <c r="N30" s="1">
        <f t="shared" ref="N30" si="38">N29*(M30/M29+0.01)</f>
        <v>66.277327524672273</v>
      </c>
    </row>
    <row r="31" spans="2:196" x14ac:dyDescent="0.35"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96" x14ac:dyDescent="0.35">
      <c r="D32" s="3"/>
      <c r="E32" s="3"/>
      <c r="F32" s="3"/>
      <c r="G32" s="3"/>
      <c r="H32" s="3"/>
      <c r="I32" s="3"/>
      <c r="J32" s="3"/>
      <c r="K32" s="3">
        <v>-0.42</v>
      </c>
      <c r="L32" s="3">
        <v>-0.45</v>
      </c>
      <c r="M32" s="3">
        <v>-0.09</v>
      </c>
      <c r="N32" s="3">
        <v>-0.1</v>
      </c>
    </row>
    <row r="34" spans="13:14" x14ac:dyDescent="0.35">
      <c r="M34" s="9">
        <f>N34/10</f>
        <v>1.0000000000000009E-3</v>
      </c>
      <c r="N34" s="3">
        <f>MAX(D32:N32)-N32</f>
        <v>1.0000000000000009E-2</v>
      </c>
    </row>
  </sheetData>
  <hyperlinks>
    <hyperlink ref="A1" r:id="rId1" xr:uid="{1A586EBE-73CC-4A45-806F-7FBA4CB267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Swift 5</dc:creator>
  <cp:lastModifiedBy>Acer Swift 5</cp:lastModifiedBy>
  <dcterms:created xsi:type="dcterms:W3CDTF">2025-08-01T02:11:50Z</dcterms:created>
  <dcterms:modified xsi:type="dcterms:W3CDTF">2025-10-29T20:09:33Z</dcterms:modified>
</cp:coreProperties>
</file>